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B79ED98-33A2-4535-9969-A98A6D950A19}" xr6:coauthVersionLast="36" xr6:coauthVersionMax="36" xr10:uidLastSave="{00000000-0000-0000-0000-000000000000}"/>
  <bookViews>
    <workbookView xWindow="0" yWindow="0" windowWidth="19200" windowHeight="6810" activeTab="3" xr2:uid="{00000000-000D-0000-FFFF-FFFF00000000}"/>
  </bookViews>
  <sheets>
    <sheet name="supply_chain_data" sheetId="1" r:id="rId1"/>
    <sheet name="sum of Revenue generated" sheetId="5" r:id="rId2"/>
    <sheet name="avg of manufacturing" sheetId="6" r:id="rId3"/>
    <sheet name="Avg lead time &amp; Defect rates" sheetId="7" r:id="rId4"/>
  </sheets>
  <calcPr calcId="191029"/>
  <pivotCaches>
    <pivotCache cacheId="1" r:id="rId5"/>
  </pivotCaches>
</workbook>
</file>

<file path=xl/calcChain.xml><?xml version="1.0" encoding="utf-8"?>
<calcChain xmlns="http://schemas.openxmlformats.org/spreadsheetml/2006/main">
  <c r="AF14" i="1" l="1"/>
  <c r="AF15" i="1"/>
  <c r="AF13" i="1"/>
  <c r="AA13" i="1"/>
  <c r="AC14" i="1"/>
  <c r="AC15" i="1"/>
  <c r="AC16" i="1"/>
  <c r="AC17" i="1"/>
  <c r="AC13" i="1"/>
  <c r="AB14" i="1"/>
  <c r="AB15" i="1"/>
  <c r="AB16" i="1"/>
  <c r="AB17" i="1"/>
  <c r="AB13" i="1"/>
  <c r="AA14" i="1"/>
  <c r="AA15" i="1"/>
  <c r="AA16" i="1"/>
  <c r="AA17" i="1"/>
  <c r="AC6" i="1"/>
  <c r="AC7" i="1"/>
  <c r="AC5" i="1"/>
  <c r="C102" i="1"/>
  <c r="E102" i="1"/>
  <c r="F102" i="1"/>
</calcChain>
</file>

<file path=xl/sharedStrings.xml><?xml version="1.0" encoding="utf-8"?>
<sst xmlns="http://schemas.openxmlformats.org/spreadsheetml/2006/main" count="960" uniqueCount="164">
  <si>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</si>
  <si>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</si>
  <si>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</si>
  <si>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</si>
  <si>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</si>
  <si>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</si>
  <si>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</si>
  <si>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</si>
  <si>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</si>
  <si>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</si>
  <si>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</si>
  <si>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</si>
  <si>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</si>
  <si>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</si>
  <si>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</si>
  <si>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</si>
  <si>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</si>
  <si>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</si>
  <si>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</si>
  <si>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</si>
  <si>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</si>
  <si>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</si>
  <si>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</si>
  <si>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</si>
  <si>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</si>
  <si>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</si>
  <si>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</si>
  <si>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</si>
  <si>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</si>
  <si>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</si>
  <si>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</si>
  <si>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</si>
  <si>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</si>
  <si>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</si>
  <si>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</si>
  <si>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</si>
  <si>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</si>
  <si>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</si>
  <si>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</si>
  <si>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</si>
  <si>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</si>
  <si>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</si>
  <si>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</si>
  <si>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</si>
  <si>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</si>
  <si>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</si>
  <si>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</si>
  <si>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</si>
  <si>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</si>
  <si>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cosmetics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</si>
  <si>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</si>
  <si>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</si>
  <si>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</si>
  <si>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</si>
  <si>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</si>
  <si>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</si>
  <si>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</si>
  <si>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</si>
  <si>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</si>
  <si>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</si>
  <si>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</si>
  <si>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</si>
  <si>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</si>
  <si>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</si>
  <si>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</si>
  <si>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</si>
  <si>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</si>
  <si>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</si>
  <si>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</si>
  <si>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</si>
  <si>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</si>
  <si>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</si>
  <si>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</si>
  <si>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</si>
  <si>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</si>
  <si>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</si>
  <si>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</si>
  <si>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</si>
  <si>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</si>
  <si>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</si>
  <si>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</si>
  <si>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</si>
  <si>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</si>
  <si>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</si>
  <si>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</si>
  <si>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</si>
  <si>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</si>
  <si>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</si>
  <si>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</si>
  <si>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</si>
  <si>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</si>
  <si>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</si>
  <si>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</si>
  <si>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</si>
  <si>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</si>
  <si>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</si>
  <si>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</si>
  <si>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</si>
  <si>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</si>
  <si>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</si>
  <si>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</si>
  <si>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</si>
  <si>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</si>
  <si>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</si>
  <si>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</si>
  <si>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</si>
  <si>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</si>
  <si>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</si>
  <si>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</si>
  <si>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</si>
  <si>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</si>
  <si>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</si>
  <si>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</si>
  <si>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</si>
  <si>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</si>
  <si>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</si>
  <si>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</si>
  <si>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</si>
  <si>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</si>
  <si>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</si>
  <si>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</si>
  <si>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</si>
  <si>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</si>
  <si>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</si>
  <si>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</si>
  <si>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</si>
  <si>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</si>
  <si>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</si>
  <si>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</si>
  <si>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</si>
  <si>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</si>
  <si>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</si>
  <si>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</si>
  <si>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</si>
  <si>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</si>
  <si>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</si>
  <si>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</si>
  <si>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</si>
  <si>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</si>
  <si>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</si>
  <si>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</si>
  <si>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</si>
  <si>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</si>
  <si>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</si>
  <si>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</si>
  <si>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</si>
  <si>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</si>
  <si>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</si>
  <si>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</si>
  <si>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</si>
  <si>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</si>
  <si>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</si>
  <si>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</si>
  <si>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</si>
  <si>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Row Labels</t>
  </si>
  <si>
    <t>product and total revenue</t>
  </si>
  <si>
    <t>supplier and menufactaring</t>
  </si>
  <si>
    <t>supplier and avg lead time</t>
  </si>
  <si>
    <t xml:space="preserve">supplier defact rate </t>
  </si>
  <si>
    <t>SHPIPPLING carrier and total shipping cost</t>
  </si>
  <si>
    <t>Sum of Revenue generated</t>
  </si>
  <si>
    <t>Average of Manufacturing lead time</t>
  </si>
  <si>
    <t>Average of Defect rates</t>
  </si>
  <si>
    <t>Average of Lead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</si>
</sst>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9" fontId="0" fillId="0" borderId="10" xfId="0" applyNumberFormat="1" applyBorder="1"/>
    <xf numFmtId="2" fontId="0" fillId="0" borderId="10" xfId="0" applyNumberFormat="1" applyBorder="1"/>
    <xf numFmtId="0" fontId="0" fillId="0" borderId="0" xfId="0" applyAlignment="1">
      <alignment horizontal="center" wrapText="1"/>
    </xf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[supply_chain_data.xlsx]sum of Revenue generated!PivotTable3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0.12925909610598496"/>
              <c:y val="0.177957969784916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-9.6675997131721592E-2"/>
              <c:y val="-0.172637847805643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layout>
            <c:manualLayout>
              <c:x val="0.16326909118285321"/>
              <c:y val="4.57992789456927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'sum of Revenue generated'!$B$3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492-40E3-A0D6-ACA089B7BCA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492-40E3-A0D6-ACA089B7BCAD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492-40E3-A0D6-ACA089B7BCAD}"/>
              </c:ext>
            </c:extLst>
          </c:dPt>
          <c:dLbls>
            <c:dLbl>
              <c:idx val="0"/>
              <c:layout>
                <c:manualLayout>
                  <c:x val="-0.12925909610598496"/>
                  <c:y val="0.1779579697849167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92-40E3-A0D6-ACA089B7BCAD}"/>
                </c:ext>
              </c:extLst>
            </c:dLbl>
            <c:dLbl>
              <c:idx val="1"/>
              <c:layout>
                <c:manualLayout>
                  <c:x val="-9.6675997131721592E-2"/>
                  <c:y val="-0.1726378478056430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492-40E3-A0D6-ACA089B7BCAD}"/>
                </c:ext>
              </c:extLst>
            </c:dLbl>
            <c:dLbl>
              <c:idx val="2"/>
              <c:layout>
                <c:manualLayout>
                  <c:x val="0.16326909118285321"/>
                  <c:y val="4.57992789456927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92-40E3-A0D6-ACA089B7BC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 of Revenue generated'!$A$4:$A$6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'sum of Revenue generated'!$B$4:$B$6</c:f>
              <c:numCache>
                <c:formatCode>0%</c:formatCode>
                <c:ptCount val="3"/>
                <c:pt idx="0">
                  <c:v>0.27963973502577516</c:v>
                </c:pt>
                <c:pt idx="1">
                  <c:v>0.30203246558555619</c:v>
                </c:pt>
                <c:pt idx="2">
                  <c:v>0.4183277993886686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2-40E3-A0D6-ACA089B7BCAD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  <a:scene3d>
      <a:camera prst="orthographicFront"/>
      <a:lightRig rig="threePt" dir="t"/>
    </a:scene3d>
    <a:sp3d>
      <a:bevelT w="19050" h="101600"/>
      <a:bevelB w="19050" h="1016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[supply_chain_data.xlsx]avg of manufacturing!PivotTable5</c:name>
    <c:fmtId val="8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'avg of manufacturing'!$B$3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of manufacturing'!$A$4:$A$8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'avg of manufacturing'!$B$4:$B$8</c:f>
              <c:numCache>
                <c:formatCode>0.00</c:formatCode>
                <c:ptCount val="5"/>
                <c:pt idx="0">
                  <c:v>12.592592592592593</c:v>
                </c:pt>
                <c:pt idx="1">
                  <c:v>15.590909090909092</c:v>
                </c:pt>
                <c:pt idx="2">
                  <c:v>14.933333333333334</c:v>
                </c:pt>
                <c:pt idx="3">
                  <c:v>15.333333333333334</c:v>
                </c:pt>
                <c:pt idx="4">
                  <c:v>16.333333333333332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0C-4ACE-ACE1-537524F43A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058067519"/>
        <c:axId val="1390407055"/>
      </c:barChart>
      <c:catAx>
        <c:axId val="105806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407055"/>
        <c:crosses val="autoZero"/>
        <c:auto val="1"/>
        <c:lblAlgn val="ctr"/>
        <c:lblOffset val="100"/>
        <c:noMultiLvlLbl val="0"/>
      </c:catAx>
      <c:valAx>
        <c:axId val="1390407055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06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[supply_chain_data.xlsx]Avg lead time &amp; Defect rates!PivotTable6</c:name>
    <c:fmtId val="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lead time &amp; Defect rates'!$B$3</c:f>
              <c:strCache>
                <c:ptCount val="1"/>
                <c:pt idx="0">
                  <c:v>Average of Lead times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lead time &amp; Defect rates'!$A$4:$A$8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'Avg lead time &amp; Defect rates'!$B$4:$B$8</c:f>
              <c:numCache>
                <c:formatCode>0.00</c:formatCode>
                <c:ptCount val="5"/>
                <c:pt idx="0">
                  <c:v>16.777777777777779</c:v>
                </c:pt>
                <c:pt idx="1">
                  <c:v>16.227272727272727</c:v>
                </c:pt>
                <c:pt idx="2">
                  <c:v>14.333333333333334</c:v>
                </c:pt>
                <c:pt idx="3">
                  <c:v>17</c:v>
                </c:pt>
                <c:pt idx="4">
                  <c:v>14.722222222222221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C-4030-98AF-14AB62FAD709}"/>
            </c:ext>
          </c:extLst>
        </c:ser>
        <c:ser>
          <c:idx val="1"/>
          <c:order val="1"/>
          <c:tx>
            <c:strRef>
              <c:f>'Avg lead time &amp; Defect rates'!$C$3</c:f>
              <c:strCache>
                <c:ptCount val="1"/>
                <c:pt idx="0">
                  <c:v>Average of Defect rates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'Avg lead time &amp; Defect rates'!$A$4:$A$8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'Avg lead time &amp; Defect rates'!$C$4:$C$8</c:f>
              <c:numCache>
                <c:formatCode>0.00</c:formatCode>
                <c:ptCount val="5"/>
                <c:pt idx="0">
                  <c:v>1.8033333333333332</c:v>
                </c:pt>
                <c:pt idx="1">
                  <c:v>2.3618181818181814</c:v>
                </c:pt>
                <c:pt idx="2">
                  <c:v>2.4660000000000002</c:v>
                </c:pt>
                <c:pt idx="3">
                  <c:v>2.3388888888888895</c:v>
                </c:pt>
                <c:pt idx="4">
                  <c:v>2.665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C-4030-98AF-14AB62FAD7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490844783"/>
        <c:axId val="1557298671"/>
      </c:barChart>
      <c:catAx>
        <c:axId val="149084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298671"/>
        <c:crosses val="autoZero"/>
        <c:auto val="1"/>
        <c:lblAlgn val="ctr"/>
        <c:lblOffset val="100"/>
        <c:noMultiLvlLbl val="0"/>
      </c:catAx>
      <c:valAx>
        <c:axId val="1557298671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44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418496</xdr:colOff>
      <xdr:row>0</xdr:row>
      <xdr:rowOff>0</xdr:rowOff>
    </xdr:from>
    <xdr:to>
      <xdr:col>11</xdr:col>
      <xdr:colOff>110709</xdr:colOff>
      <xdr:row>14</xdr:row>
      <xdr:rowOff>163344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15DC5-1E8A-4758-ACB1-91B06EEC2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441325</xdr:colOff>
      <xdr:row>1</xdr:row>
      <xdr:rowOff>133350</xdr:rowOff>
    </xdr:from>
    <xdr:to>
      <xdr:col>7</xdr:col>
      <xdr:colOff>501650</xdr:colOff>
      <xdr:row>15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60AFA2-A8B9-4FC2-A336-62B98A66C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187325</xdr:colOff>
      <xdr:row>0</xdr:row>
      <xdr:rowOff>107950</xdr:rowOff>
    </xdr:from>
    <xdr:to>
      <xdr:col>10</xdr:col>
      <xdr:colOff>492125</xdr:colOff>
      <xdr:row>15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C966F3-FC39-4C38-9CB4-1B5BF17BCA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69.487905902781" createdVersion="6" refreshedVersion="6" minRefreshableVersion="3" recordCount="100" xr:uid="{00000000-000A-0000-FFFF-FFFF0D000000}">
  <cacheSource type="worksheet">
    <worksheetSource name="Table1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>
      <sharedItems/>
    </cacheField>
    <cacheField name="Price" numFmtId="0">
      <sharedItems containsSemiMixedTypes="0" containsString="0" containsNumber="1" minValue="1.7" maxValue="99.17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 containsSemiMixedTypes="0" containsString="0" containsNumber="1" minValue="1061.6199999999999" maxValue="9866.4699999999993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 containsSemiMixedTypes="0" containsString="0" containsNumber="1" minValue="1.01" maxValue="9.93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 count="30">
        <n v="29"/>
        <n v="30"/>
        <n v="27"/>
        <n v="18"/>
        <n v="3"/>
        <n v="17"/>
        <n v="24"/>
        <n v="1"/>
        <n v="8"/>
        <n v="23"/>
        <n v="5"/>
        <n v="11"/>
        <n v="10"/>
        <n v="14"/>
        <n v="7"/>
        <n v="21"/>
        <n v="16"/>
        <n v="6"/>
        <n v="4"/>
        <n v="28"/>
        <n v="2"/>
        <n v="19"/>
        <n v="15"/>
        <n v="12"/>
        <n v="25"/>
        <n v="20"/>
        <n v="9"/>
        <n v="26"/>
        <n v="22"/>
        <n v="13"/>
      </sharedItems>
    </cacheField>
    <cacheField name="Manufacturing costs" numFmtId="0">
      <sharedItems containsSemiMixedTypes="0" containsString="0" containsNumber="1" minValue="1.0900000000000001" maxValue="99.47"/>
    </cacheField>
    <cacheField name="Inspection results" numFmtId="0">
      <sharedItems/>
    </cacheField>
    <cacheField name="Defect rates" numFmtId="0">
      <sharedItems containsSemiMixedTypes="0" containsString="0" containsNumber="1" minValue="0.02" maxValue="4.9400000000000004"/>
    </cacheField>
    <cacheField name="Transportation modes" numFmtId="0">
      <sharedItems/>
    </cacheField>
    <cacheField name="Routes" numFmtId="0">
      <sharedItems/>
    </cacheField>
    <cacheField name="Costs" numFmtId="0">
      <sharedItems containsSemiMixedTypes="0" containsString="0" containsNumber="1" minValue="103.92" maxValue="997.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s v="SKU0"/>
    <n v="69.81"/>
    <n v="55"/>
    <n v="802"/>
    <n v="8662"/>
    <s v="Non-binary"/>
    <n v="58"/>
    <n v="7"/>
    <n v="96"/>
    <n v="4"/>
    <s v="Carrier B"/>
    <n v="2.96"/>
    <x v="0"/>
    <s v="Mumbai"/>
    <n v="29"/>
    <n v="215"/>
    <x v="0"/>
    <n v="46.28"/>
    <s v="Pending"/>
    <n v="0.23"/>
    <s v="Road"/>
    <s v="Route B"/>
    <n v="187.75"/>
  </r>
  <r>
    <x v="1"/>
    <s v="SKU1"/>
    <n v="14.84"/>
    <n v="95"/>
    <n v="736"/>
    <n v="7460.9"/>
    <s v="Female"/>
    <n v="53"/>
    <n v="30"/>
    <n v="37"/>
    <n v="2"/>
    <s v="Carrier A"/>
    <n v="9.7200000000000006"/>
    <x v="0"/>
    <s v="Mumbai"/>
    <n v="23"/>
    <n v="517"/>
    <x v="1"/>
    <n v="33.619999999999997"/>
    <s v="Pending"/>
    <n v="4.8499999999999996"/>
    <s v="Road"/>
    <s v="Route B"/>
    <n v="503.07"/>
  </r>
  <r>
    <x v="0"/>
    <s v="SKU2"/>
    <n v="11.32"/>
    <n v="34"/>
    <n v="8"/>
    <n v="9577.75"/>
    <s v="Unknown"/>
    <n v="1"/>
    <n v="10"/>
    <n v="88"/>
    <n v="2"/>
    <s v="Carrier B"/>
    <n v="8.0500000000000007"/>
    <x v="1"/>
    <s v="Mumbai"/>
    <n v="12"/>
    <n v="971"/>
    <x v="2"/>
    <n v="30.69"/>
    <s v="Pending"/>
    <n v="4.58"/>
    <s v="Air"/>
    <s v="Route C"/>
    <n v="141.91999999999999"/>
  </r>
  <r>
    <x v="1"/>
    <s v="SKU3"/>
    <n v="61.16"/>
    <n v="68"/>
    <n v="83"/>
    <n v="7766.84"/>
    <s v="Non-binary"/>
    <n v="23"/>
    <n v="13"/>
    <n v="59"/>
    <n v="6"/>
    <s v="Carrier C"/>
    <n v="1.73"/>
    <x v="2"/>
    <s v="Kolkata"/>
    <n v="24"/>
    <n v="937"/>
    <x v="3"/>
    <n v="35.619999999999997"/>
    <s v="Fail"/>
    <n v="4.75"/>
    <s v="Rail"/>
    <s v="Route A"/>
    <n v="254.78"/>
  </r>
  <r>
    <x v="1"/>
    <s v="SKU4"/>
    <n v="4.8099999999999996"/>
    <n v="26"/>
    <n v="871"/>
    <n v="2686.51"/>
    <s v="Non-binary"/>
    <n v="5"/>
    <n v="3"/>
    <n v="56"/>
    <n v="8"/>
    <s v="Carrier A"/>
    <n v="3.89"/>
    <x v="1"/>
    <s v="Delhi"/>
    <n v="5"/>
    <n v="414"/>
    <x v="4"/>
    <n v="92.07"/>
    <s v="Fail"/>
    <n v="3.15"/>
    <s v="Air"/>
    <s v="Route A"/>
    <n v="923.44"/>
  </r>
  <r>
    <x v="0"/>
    <s v="SKU5"/>
    <n v="1.7"/>
    <n v="87"/>
    <n v="147"/>
    <n v="2828.35"/>
    <s v="Non-binary"/>
    <n v="90"/>
    <n v="27"/>
    <n v="66"/>
    <n v="3"/>
    <s v="Carrier B"/>
    <n v="4.4400000000000004"/>
    <x v="3"/>
    <s v="Bangalore"/>
    <n v="10"/>
    <n v="104"/>
    <x v="5"/>
    <n v="56.77"/>
    <s v="Fail"/>
    <n v="2.78"/>
    <s v="Road"/>
    <s v="Route A"/>
    <n v="235.46"/>
  </r>
  <r>
    <x v="1"/>
    <s v="SKU6"/>
    <n v="4.08"/>
    <n v="48"/>
    <n v="65"/>
    <n v="7823.48"/>
    <s v="Male"/>
    <n v="11"/>
    <n v="15"/>
    <n v="58"/>
    <n v="8"/>
    <s v="Carrier C"/>
    <n v="3.88"/>
    <x v="0"/>
    <s v="Kolkata"/>
    <n v="14"/>
    <n v="314"/>
    <x v="6"/>
    <n v="1.0900000000000001"/>
    <s v="Pending"/>
    <n v="1"/>
    <s v="Sea"/>
    <s v="Route A"/>
    <n v="134.37"/>
  </r>
  <r>
    <x v="2"/>
    <s v="SKU7"/>
    <n v="42.96"/>
    <n v="59"/>
    <n v="426"/>
    <n v="8496.1"/>
    <s v="Female"/>
    <n v="93"/>
    <n v="17"/>
    <n v="11"/>
    <n v="1"/>
    <s v="Carrier B"/>
    <n v="2.35"/>
    <x v="3"/>
    <s v="Bangalore"/>
    <n v="22"/>
    <n v="564"/>
    <x v="7"/>
    <n v="99.47"/>
    <s v="Fail"/>
    <n v="0.4"/>
    <s v="Road"/>
    <s v="Route C"/>
    <n v="802.06"/>
  </r>
  <r>
    <x v="2"/>
    <s v="SKU8"/>
    <n v="68.72"/>
    <n v="78"/>
    <n v="150"/>
    <n v="7517.36"/>
    <s v="Female"/>
    <n v="5"/>
    <n v="10"/>
    <n v="15"/>
    <n v="7"/>
    <s v="Carrier C"/>
    <n v="3.4"/>
    <x v="3"/>
    <s v="Mumbai"/>
    <n v="13"/>
    <n v="769"/>
    <x v="8"/>
    <n v="11.42"/>
    <s v="Pending"/>
    <n v="2.71"/>
    <s v="Sea"/>
    <s v="Route B"/>
    <n v="505.56"/>
  </r>
  <r>
    <x v="1"/>
    <s v="SKU9"/>
    <n v="64.02"/>
    <n v="35"/>
    <n v="980"/>
    <n v="4971.1499999999996"/>
    <s v="Unknown"/>
    <n v="14"/>
    <n v="27"/>
    <n v="83"/>
    <n v="1"/>
    <s v="Carrier A"/>
    <n v="7.17"/>
    <x v="4"/>
    <s v="Chennai"/>
    <n v="29"/>
    <n v="963"/>
    <x v="9"/>
    <n v="47.96"/>
    <s v="Pending"/>
    <n v="3.84"/>
    <s v="Rail"/>
    <s v="Route B"/>
    <n v="995.93"/>
  </r>
  <r>
    <x v="1"/>
    <s v="SKU10"/>
    <n v="15.71"/>
    <n v="11"/>
    <n v="996"/>
    <n v="2330.9699999999998"/>
    <s v="Non-binary"/>
    <n v="51"/>
    <n v="13"/>
    <n v="80"/>
    <n v="2"/>
    <s v="Carrier C"/>
    <n v="8.67"/>
    <x v="2"/>
    <s v="Kolkata"/>
    <n v="18"/>
    <n v="830"/>
    <x v="10"/>
    <n v="96.53"/>
    <s v="Pass"/>
    <n v="1.73"/>
    <s v="Road"/>
    <s v="Route B"/>
    <n v="806.1"/>
  </r>
  <r>
    <x v="1"/>
    <s v="SKU11"/>
    <n v="90.64"/>
    <n v="95"/>
    <n v="960"/>
    <n v="6099.94"/>
    <s v="Female"/>
    <n v="46"/>
    <n v="23"/>
    <n v="60"/>
    <n v="1"/>
    <s v="Carrier A"/>
    <n v="4.5199999999999996"/>
    <x v="4"/>
    <s v="Kolkata"/>
    <n v="28"/>
    <n v="362"/>
    <x v="11"/>
    <n v="27.59"/>
    <s v="Pending"/>
    <n v="0.02"/>
    <s v="Air"/>
    <s v="Route A"/>
    <n v="126.72"/>
  </r>
  <r>
    <x v="0"/>
    <s v="SKU12"/>
    <n v="71.209999999999994"/>
    <n v="41"/>
    <n v="336"/>
    <n v="2873.74"/>
    <s v="Unknown"/>
    <n v="100"/>
    <n v="30"/>
    <n v="85"/>
    <n v="4"/>
    <s v="Carrier A"/>
    <n v="1.33"/>
    <x v="3"/>
    <s v="Kolkata"/>
    <n v="3"/>
    <n v="563"/>
    <x v="4"/>
    <n v="32.32"/>
    <s v="Fail"/>
    <n v="2.16"/>
    <s v="Road"/>
    <s v="Route B"/>
    <n v="402.97"/>
  </r>
  <r>
    <x v="1"/>
    <s v="SKU13"/>
    <n v="16.16"/>
    <n v="5"/>
    <n v="249"/>
    <n v="4052.74"/>
    <s v="Male"/>
    <n v="80"/>
    <n v="8"/>
    <n v="48"/>
    <n v="9"/>
    <s v="Carrier A"/>
    <n v="9.5399999999999991"/>
    <x v="2"/>
    <s v="Bangalore"/>
    <n v="23"/>
    <n v="173"/>
    <x v="12"/>
    <n v="97.83"/>
    <s v="Pending"/>
    <n v="1.63"/>
    <s v="Road"/>
    <s v="Route B"/>
    <n v="547.24"/>
  </r>
  <r>
    <x v="1"/>
    <s v="SKU14"/>
    <n v="99.17"/>
    <n v="26"/>
    <n v="562"/>
    <n v="8653.57"/>
    <s v="Non-binary"/>
    <n v="54"/>
    <n v="29"/>
    <n v="78"/>
    <n v="5"/>
    <s v="Carrier B"/>
    <n v="2.04"/>
    <x v="1"/>
    <s v="Kolkata"/>
    <n v="25"/>
    <n v="558"/>
    <x v="13"/>
    <n v="5.79"/>
    <s v="Pending"/>
    <n v="0.1"/>
    <s v="Air"/>
    <s v="Route B"/>
    <n v="929.24"/>
  </r>
  <r>
    <x v="1"/>
    <s v="SKU15"/>
    <n v="36.99"/>
    <n v="94"/>
    <n v="469"/>
    <n v="5442.09"/>
    <s v="Non-binary"/>
    <n v="9"/>
    <n v="8"/>
    <n v="69"/>
    <n v="7"/>
    <s v="Carrier B"/>
    <n v="2.42"/>
    <x v="1"/>
    <s v="Bangalore"/>
    <n v="14"/>
    <n v="580"/>
    <x v="14"/>
    <n v="97.12"/>
    <s v="Pass"/>
    <n v="2.2599999999999998"/>
    <s v="Sea"/>
    <s v="Route B"/>
    <n v="127.86"/>
  </r>
  <r>
    <x v="1"/>
    <s v="SKU16"/>
    <n v="7.55"/>
    <n v="74"/>
    <n v="280"/>
    <n v="6453.8"/>
    <s v="Female"/>
    <n v="2"/>
    <n v="5"/>
    <n v="78"/>
    <n v="1"/>
    <s v="Carrier B"/>
    <n v="4.1900000000000004"/>
    <x v="1"/>
    <s v="Bangalore"/>
    <n v="3"/>
    <n v="399"/>
    <x v="15"/>
    <n v="77.11"/>
    <s v="Pass"/>
    <n v="1.01"/>
    <s v="Air"/>
    <s v="Route A"/>
    <n v="865.53"/>
  </r>
  <r>
    <x v="2"/>
    <s v="SKU17"/>
    <n v="81.459999999999994"/>
    <n v="82"/>
    <n v="126"/>
    <n v="2629.4"/>
    <s v="Female"/>
    <n v="45"/>
    <n v="17"/>
    <n v="85"/>
    <n v="9"/>
    <s v="Carrier C"/>
    <n v="3.59"/>
    <x v="1"/>
    <s v="Chennai"/>
    <n v="7"/>
    <n v="453"/>
    <x v="16"/>
    <n v="47.68"/>
    <s v="Fail"/>
    <n v="0.1"/>
    <s v="Air"/>
    <s v="Route C"/>
    <n v="670.93"/>
  </r>
  <r>
    <x v="0"/>
    <s v="SKU18"/>
    <n v="36.44"/>
    <n v="23"/>
    <n v="620"/>
    <n v="9364.67"/>
    <s v="Unknown"/>
    <n v="10"/>
    <n v="10"/>
    <n v="46"/>
    <n v="8"/>
    <s v="Carrier C"/>
    <n v="4.34"/>
    <x v="4"/>
    <s v="Kolkata"/>
    <n v="18"/>
    <n v="374"/>
    <x v="5"/>
    <n v="27.11"/>
    <s v="Pending"/>
    <n v="2.23"/>
    <s v="Sea"/>
    <s v="Route A"/>
    <n v="593.48"/>
  </r>
  <r>
    <x v="1"/>
    <s v="SKU19"/>
    <n v="51.12"/>
    <n v="100"/>
    <n v="187"/>
    <n v="2553.5"/>
    <s v="Unknown"/>
    <n v="48"/>
    <n v="11"/>
    <n v="94"/>
    <n v="3"/>
    <s v="Carrier A"/>
    <n v="4.74"/>
    <x v="3"/>
    <s v="Chennai"/>
    <n v="20"/>
    <n v="694"/>
    <x v="16"/>
    <n v="82.37"/>
    <s v="Fail"/>
    <n v="3.65"/>
    <s v="Road"/>
    <s v="Route C"/>
    <n v="477.31"/>
  </r>
  <r>
    <x v="1"/>
    <s v="SKU20"/>
    <n v="96.34"/>
    <n v="22"/>
    <n v="320"/>
    <n v="8128.03"/>
    <s v="Unknown"/>
    <n v="27"/>
    <n v="12"/>
    <n v="68"/>
    <n v="6"/>
    <s v="Carrier A"/>
    <n v="8.8800000000000008"/>
    <x v="1"/>
    <s v="Chennai"/>
    <n v="29"/>
    <n v="309"/>
    <x v="17"/>
    <n v="65.69"/>
    <s v="Pass"/>
    <n v="4.2300000000000004"/>
    <s v="Air"/>
    <s v="Route B"/>
    <n v="493.87"/>
  </r>
  <r>
    <x v="2"/>
    <s v="SKU21"/>
    <n v="84.89"/>
    <n v="60"/>
    <n v="601"/>
    <n v="7087.05"/>
    <s v="Unknown"/>
    <n v="69"/>
    <n v="25"/>
    <n v="7"/>
    <n v="6"/>
    <s v="Carrier B"/>
    <n v="6.04"/>
    <x v="2"/>
    <s v="Chennai"/>
    <n v="19"/>
    <n v="791"/>
    <x v="18"/>
    <n v="61.74"/>
    <s v="Pending"/>
    <n v="0.02"/>
    <s v="Air"/>
    <s v="Route C"/>
    <n v="523.36"/>
  </r>
  <r>
    <x v="0"/>
    <s v="SKU22"/>
    <n v="27.68"/>
    <n v="55"/>
    <n v="884"/>
    <n v="2390.81"/>
    <s v="Unknown"/>
    <n v="71"/>
    <n v="1"/>
    <n v="63"/>
    <n v="10"/>
    <s v="Carrier A"/>
    <n v="9.57"/>
    <x v="3"/>
    <s v="Kolkata"/>
    <n v="22"/>
    <n v="780"/>
    <x v="19"/>
    <n v="50.12"/>
    <s v="Fail"/>
    <n v="2.59"/>
    <s v="Rail"/>
    <s v="Route C"/>
    <n v="205.57"/>
  </r>
  <r>
    <x v="2"/>
    <s v="SKU23"/>
    <n v="4.32"/>
    <n v="30"/>
    <n v="391"/>
    <n v="8858.3700000000008"/>
    <s v="Unknown"/>
    <n v="84"/>
    <n v="5"/>
    <n v="29"/>
    <n v="7"/>
    <s v="Carrier A"/>
    <n v="2.92"/>
    <x v="2"/>
    <s v="Kolkata"/>
    <n v="11"/>
    <n v="568"/>
    <x v="0"/>
    <n v="98.61"/>
    <s v="Pending"/>
    <n v="1.34"/>
    <s v="Rail"/>
    <s v="Route A"/>
    <n v="196.33"/>
  </r>
  <r>
    <x v="0"/>
    <s v="SKU24"/>
    <n v="4.16"/>
    <n v="32"/>
    <n v="209"/>
    <n v="9049.08"/>
    <s v="Male"/>
    <n v="4"/>
    <n v="26"/>
    <n v="2"/>
    <n v="8"/>
    <s v="Carrier C"/>
    <n v="9.74"/>
    <x v="4"/>
    <s v="Bangalore"/>
    <n v="28"/>
    <n v="447"/>
    <x v="4"/>
    <n v="40.380000000000003"/>
    <s v="Pending"/>
    <n v="3.69"/>
    <s v="Air"/>
    <s v="Route A"/>
    <n v="758.72"/>
  </r>
  <r>
    <x v="0"/>
    <s v="SKU25"/>
    <n v="39.630000000000003"/>
    <n v="73"/>
    <n v="142"/>
    <n v="2174.7800000000002"/>
    <s v="Male"/>
    <n v="82"/>
    <n v="11"/>
    <n v="52"/>
    <n v="3"/>
    <s v="Carrier C"/>
    <n v="2.23"/>
    <x v="3"/>
    <s v="Kolkata"/>
    <n v="19"/>
    <n v="934"/>
    <x v="9"/>
    <n v="78.28"/>
    <s v="Pending"/>
    <n v="3.8"/>
    <s v="Road"/>
    <s v="Route B"/>
    <n v="458.54"/>
  </r>
  <r>
    <x v="0"/>
    <s v="SKU26"/>
    <n v="97.45"/>
    <n v="9"/>
    <n v="353"/>
    <n v="3716.49"/>
    <s v="Male"/>
    <n v="59"/>
    <n v="16"/>
    <n v="48"/>
    <n v="4"/>
    <s v="Carrier B"/>
    <n v="6.51"/>
    <x v="4"/>
    <s v="Bangalore"/>
    <n v="26"/>
    <n v="171"/>
    <x v="18"/>
    <n v="15.97"/>
    <s v="Pass"/>
    <n v="2.12"/>
    <s v="Rail"/>
    <s v="Route A"/>
    <n v="617.87"/>
  </r>
  <r>
    <x v="2"/>
    <s v="SKU27"/>
    <n v="92.56"/>
    <n v="42"/>
    <n v="352"/>
    <n v="2686.46"/>
    <s v="Unknown"/>
    <n v="47"/>
    <n v="9"/>
    <n v="62"/>
    <n v="8"/>
    <s v="Carrier C"/>
    <n v="7.41"/>
    <x v="2"/>
    <s v="Mumbai"/>
    <n v="25"/>
    <n v="291"/>
    <x v="18"/>
    <n v="10.53"/>
    <s v="Fail"/>
    <n v="2.86"/>
    <s v="Sea"/>
    <s v="Route B"/>
    <n v="762.46"/>
  </r>
  <r>
    <x v="2"/>
    <s v="SKU28"/>
    <n v="2.4"/>
    <n v="12"/>
    <n v="394"/>
    <n v="6117.32"/>
    <s v="Female"/>
    <n v="48"/>
    <n v="15"/>
    <n v="24"/>
    <n v="4"/>
    <s v="Carrier B"/>
    <n v="9.9"/>
    <x v="1"/>
    <s v="Mumbai"/>
    <n v="13"/>
    <n v="171"/>
    <x v="14"/>
    <n v="59.43"/>
    <s v="Fail"/>
    <n v="0.82"/>
    <s v="Air"/>
    <s v="Route A"/>
    <n v="123.44"/>
  </r>
  <r>
    <x v="2"/>
    <s v="SKU29"/>
    <n v="63.45"/>
    <n v="3"/>
    <n v="253"/>
    <n v="8318.9"/>
    <s v="Female"/>
    <n v="45"/>
    <n v="5"/>
    <n v="67"/>
    <n v="7"/>
    <s v="Carrier B"/>
    <n v="8.1"/>
    <x v="1"/>
    <s v="Kolkata"/>
    <n v="16"/>
    <n v="329"/>
    <x v="14"/>
    <n v="39.29"/>
    <s v="Pass"/>
    <n v="3.88"/>
    <s v="Road"/>
    <s v="Route B"/>
    <n v="764.94"/>
  </r>
  <r>
    <x v="0"/>
    <s v="SKU30"/>
    <n v="8.02"/>
    <n v="10"/>
    <n v="327"/>
    <n v="2766.34"/>
    <s v="Male"/>
    <n v="60"/>
    <n v="26"/>
    <n v="35"/>
    <n v="7"/>
    <s v="Carrier B"/>
    <n v="8.9499999999999993"/>
    <x v="3"/>
    <s v="Kolkata"/>
    <n v="27"/>
    <n v="806"/>
    <x v="1"/>
    <n v="51.63"/>
    <s v="Pending"/>
    <n v="0.97"/>
    <s v="Road"/>
    <s v="Route C"/>
    <n v="880.08"/>
  </r>
  <r>
    <x v="1"/>
    <s v="SKU31"/>
    <n v="50.85"/>
    <n v="28"/>
    <n v="168"/>
    <n v="9655.14"/>
    <s v="Male"/>
    <n v="6"/>
    <n v="17"/>
    <n v="44"/>
    <n v="4"/>
    <s v="Carrier B"/>
    <n v="2.68"/>
    <x v="0"/>
    <s v="Chennai"/>
    <n v="24"/>
    <n v="461"/>
    <x v="8"/>
    <n v="60.25"/>
    <s v="Pending"/>
    <n v="2.99"/>
    <s v="Rail"/>
    <s v="Route C"/>
    <n v="609.38"/>
  </r>
  <r>
    <x v="1"/>
    <s v="SKU32"/>
    <n v="79.209999999999994"/>
    <n v="43"/>
    <n v="781"/>
    <n v="9571.5499999999993"/>
    <s v="Unknown"/>
    <n v="89"/>
    <n v="13"/>
    <n v="64"/>
    <n v="4"/>
    <s v="Carrier C"/>
    <n v="6.6"/>
    <x v="0"/>
    <s v="Kolkata"/>
    <n v="30"/>
    <n v="737"/>
    <x v="14"/>
    <n v="29.69"/>
    <s v="Pass"/>
    <n v="1.95"/>
    <s v="Road"/>
    <s v="Route A"/>
    <n v="761.17"/>
  </r>
  <r>
    <x v="2"/>
    <s v="SKU33"/>
    <n v="64.8"/>
    <n v="63"/>
    <n v="616"/>
    <n v="5150"/>
    <s v="Non-binary"/>
    <n v="4"/>
    <n v="17"/>
    <n v="95"/>
    <n v="9"/>
    <s v="Carrier C"/>
    <n v="4.8600000000000003"/>
    <x v="2"/>
    <s v="Chennai"/>
    <n v="1"/>
    <n v="251"/>
    <x v="9"/>
    <n v="23.85"/>
    <s v="Fail"/>
    <n v="3.54"/>
    <s v="Sea"/>
    <s v="Route A"/>
    <n v="371.26"/>
  </r>
  <r>
    <x v="1"/>
    <s v="SKU34"/>
    <n v="37.47"/>
    <n v="96"/>
    <n v="602"/>
    <n v="9061.7099999999991"/>
    <s v="Unknown"/>
    <n v="1"/>
    <n v="26"/>
    <n v="21"/>
    <n v="7"/>
    <s v="Carrier A"/>
    <n v="1.02"/>
    <x v="1"/>
    <s v="Chennai"/>
    <n v="4"/>
    <n v="452"/>
    <x v="12"/>
    <n v="10.75"/>
    <s v="Pass"/>
    <n v="0.65"/>
    <s v="Road"/>
    <s v="Route B"/>
    <n v="510.36"/>
  </r>
  <r>
    <x v="2"/>
    <s v="SKU35"/>
    <n v="84.96"/>
    <n v="11"/>
    <n v="449"/>
    <n v="6541.33"/>
    <s v="Female"/>
    <n v="42"/>
    <n v="27"/>
    <n v="85"/>
    <n v="8"/>
    <s v="Carrier C"/>
    <n v="5.29"/>
    <x v="1"/>
    <s v="Delhi"/>
    <n v="3"/>
    <n v="367"/>
    <x v="20"/>
    <n v="58"/>
    <s v="Pass"/>
    <n v="0.54"/>
    <s v="Sea"/>
    <s v="Route C"/>
    <n v="553.41999999999996"/>
  </r>
  <r>
    <x v="1"/>
    <s v="SKU36"/>
    <n v="9.81"/>
    <n v="34"/>
    <n v="963"/>
    <n v="7573.4"/>
    <s v="Female"/>
    <n v="18"/>
    <n v="23"/>
    <n v="28"/>
    <n v="3"/>
    <s v="Carrier B"/>
    <n v="2.11"/>
    <x v="4"/>
    <s v="Delhi"/>
    <n v="26"/>
    <n v="671"/>
    <x v="21"/>
    <n v="45.53"/>
    <s v="Fail"/>
    <n v="3.81"/>
    <s v="Air"/>
    <s v="Route C"/>
    <n v="403.81"/>
  </r>
  <r>
    <x v="1"/>
    <s v="SKU37"/>
    <n v="23.4"/>
    <n v="5"/>
    <n v="963"/>
    <n v="2438.34"/>
    <s v="Female"/>
    <n v="25"/>
    <n v="8"/>
    <n v="21"/>
    <n v="9"/>
    <s v="Carrier A"/>
    <n v="1.53"/>
    <x v="0"/>
    <s v="Kolkata"/>
    <n v="24"/>
    <n v="867"/>
    <x v="22"/>
    <n v="34.340000000000003"/>
    <s v="Pending"/>
    <n v="2.61"/>
    <s v="Sea"/>
    <s v="Route A"/>
    <n v="183.93"/>
  </r>
  <r>
    <x v="2"/>
    <s v="SKU38"/>
    <n v="52.08"/>
    <n v="75"/>
    <n v="705"/>
    <n v="9692.32"/>
    <s v="Non-binary"/>
    <n v="69"/>
    <n v="1"/>
    <n v="88"/>
    <n v="5"/>
    <s v="Carrier B"/>
    <n v="9.24"/>
    <x v="2"/>
    <s v="Mumbai"/>
    <n v="10"/>
    <n v="841"/>
    <x v="23"/>
    <n v="5.93"/>
    <s v="Pending"/>
    <n v="0.61"/>
    <s v="Air"/>
    <s v="Route B"/>
    <n v="339.67"/>
  </r>
  <r>
    <x v="1"/>
    <s v="SKU39"/>
    <n v="19.13"/>
    <n v="26"/>
    <n v="176"/>
    <n v="1912.47"/>
    <s v="Female"/>
    <n v="78"/>
    <n v="29"/>
    <n v="34"/>
    <n v="3"/>
    <s v="Carrier A"/>
    <n v="5.56"/>
    <x v="4"/>
    <s v="Kolkata"/>
    <n v="30"/>
    <n v="791"/>
    <x v="17"/>
    <n v="9.01"/>
    <s v="Fail"/>
    <n v="1.45"/>
    <s v="Air"/>
    <s v="Route B"/>
    <n v="653.66999999999996"/>
  </r>
  <r>
    <x v="1"/>
    <s v="SKU40"/>
    <n v="80.540000000000006"/>
    <n v="97"/>
    <n v="933"/>
    <n v="5724.96"/>
    <s v="Female"/>
    <n v="90"/>
    <n v="20"/>
    <n v="39"/>
    <n v="8"/>
    <s v="Carrier C"/>
    <n v="7.23"/>
    <x v="1"/>
    <s v="Kolkata"/>
    <n v="18"/>
    <n v="793"/>
    <x v="7"/>
    <n v="88.18"/>
    <s v="Pending"/>
    <n v="4.21"/>
    <s v="Road"/>
    <s v="Route A"/>
    <n v="529.80999999999995"/>
  </r>
  <r>
    <x v="1"/>
    <s v="SKU41"/>
    <n v="99.11"/>
    <n v="35"/>
    <n v="556"/>
    <n v="5521.21"/>
    <s v="Female"/>
    <n v="64"/>
    <n v="19"/>
    <n v="38"/>
    <n v="8"/>
    <s v="Carrier B"/>
    <n v="5.77"/>
    <x v="3"/>
    <s v="Chennai"/>
    <n v="18"/>
    <n v="892"/>
    <x v="14"/>
    <n v="95.33"/>
    <s v="Fail"/>
    <n v="0.05"/>
    <s v="Sea"/>
    <s v="Route A"/>
    <n v="275.52"/>
  </r>
  <r>
    <x v="1"/>
    <s v="SKU42"/>
    <n v="46.53"/>
    <n v="98"/>
    <n v="155"/>
    <n v="1839.61"/>
    <s v="Female"/>
    <n v="22"/>
    <n v="27"/>
    <n v="57"/>
    <n v="4"/>
    <s v="Carrier C"/>
    <n v="7.53"/>
    <x v="2"/>
    <s v="Bangalore"/>
    <n v="26"/>
    <n v="179"/>
    <x v="14"/>
    <n v="96.42"/>
    <s v="Fail"/>
    <n v="4.9400000000000004"/>
    <s v="Road"/>
    <s v="Route A"/>
    <n v="635.66"/>
  </r>
  <r>
    <x v="0"/>
    <s v="SKU43"/>
    <n v="11.74"/>
    <n v="6"/>
    <n v="598"/>
    <n v="5737.43"/>
    <s v="Unknown"/>
    <n v="36"/>
    <n v="29"/>
    <n v="85"/>
    <n v="9"/>
    <s v="Carrier B"/>
    <n v="3.69"/>
    <x v="2"/>
    <s v="Mumbai"/>
    <n v="1"/>
    <n v="206"/>
    <x v="9"/>
    <n v="26.28"/>
    <s v="Pending"/>
    <n v="0.37"/>
    <s v="Air"/>
    <s v="Route A"/>
    <n v="716.04"/>
  </r>
  <r>
    <x v="2"/>
    <s v="SKU44"/>
    <n v="51.36"/>
    <n v="34"/>
    <n v="919"/>
    <n v="7152.29"/>
    <s v="Female"/>
    <n v="13"/>
    <n v="19"/>
    <n v="72"/>
    <n v="6"/>
    <s v="Carrier C"/>
    <n v="7.58"/>
    <x v="4"/>
    <s v="Delhi"/>
    <n v="7"/>
    <n v="834"/>
    <x v="3"/>
    <n v="22.55"/>
    <s v="Fail"/>
    <n v="2.96"/>
    <s v="Rail"/>
    <s v="Route A"/>
    <n v="610.45000000000005"/>
  </r>
  <r>
    <x v="0"/>
    <s v="SKU45"/>
    <n v="33.78"/>
    <n v="1"/>
    <n v="24"/>
    <n v="5267.96"/>
    <s v="Male"/>
    <n v="93"/>
    <n v="7"/>
    <n v="52"/>
    <n v="6"/>
    <s v="Carrier B"/>
    <n v="5.22"/>
    <x v="4"/>
    <s v="Chennai"/>
    <n v="25"/>
    <n v="794"/>
    <x v="24"/>
    <n v="66.31"/>
    <s v="Pass"/>
    <n v="3.22"/>
    <s v="Rail"/>
    <s v="Route A"/>
    <n v="495.31"/>
  </r>
  <r>
    <x v="0"/>
    <s v="SKU46"/>
    <n v="27.08"/>
    <n v="75"/>
    <n v="859"/>
    <n v="2556.77"/>
    <s v="Non-binary"/>
    <n v="92"/>
    <n v="29"/>
    <n v="6"/>
    <n v="8"/>
    <s v="Carrier B"/>
    <n v="4.07"/>
    <x v="0"/>
    <s v="Chennai"/>
    <n v="18"/>
    <n v="870"/>
    <x v="9"/>
    <n v="77.319999999999993"/>
    <s v="Pending"/>
    <n v="3.65"/>
    <s v="Road"/>
    <s v="Route B"/>
    <n v="380.44"/>
  </r>
  <r>
    <x v="1"/>
    <s v="SKU47"/>
    <n v="95.71"/>
    <n v="93"/>
    <n v="910"/>
    <n v="7089.47"/>
    <s v="Male"/>
    <n v="4"/>
    <n v="15"/>
    <n v="51"/>
    <n v="9"/>
    <s v="Carrier B"/>
    <n v="8.98"/>
    <x v="1"/>
    <s v="Kolkata"/>
    <n v="10"/>
    <n v="964"/>
    <x v="25"/>
    <n v="19.71"/>
    <s v="Pending"/>
    <n v="0.38"/>
    <s v="Rail"/>
    <s v="Route A"/>
    <n v="581.6"/>
  </r>
  <r>
    <x v="0"/>
    <s v="SKU48"/>
    <n v="76.040000000000006"/>
    <n v="28"/>
    <n v="29"/>
    <n v="7397.07"/>
    <s v="Non-binary"/>
    <n v="30"/>
    <n v="16"/>
    <n v="9"/>
    <n v="3"/>
    <s v="Carrier C"/>
    <n v="7.1"/>
    <x v="4"/>
    <s v="Mumbai"/>
    <n v="9"/>
    <n v="109"/>
    <x v="3"/>
    <n v="23.13"/>
    <s v="Fail"/>
    <n v="1.7"/>
    <s v="Rail"/>
    <s v="Route B"/>
    <n v="768.65"/>
  </r>
  <r>
    <x v="2"/>
    <s v="SKU49"/>
    <n v="78.900000000000006"/>
    <n v="19"/>
    <n v="99"/>
    <n v="8001.61"/>
    <s v="Unknown"/>
    <n v="97"/>
    <n v="24"/>
    <n v="9"/>
    <n v="6"/>
    <s v="Carrier C"/>
    <n v="2.5099999999999998"/>
    <x v="2"/>
    <s v="Delhi"/>
    <n v="28"/>
    <n v="177"/>
    <x v="19"/>
    <n v="14.15"/>
    <s v="Pass"/>
    <n v="2.83"/>
    <s v="Rail"/>
    <s v="Route A"/>
    <n v="336.89"/>
  </r>
  <r>
    <x v="2"/>
    <s v="SKU50"/>
    <n v="14.2"/>
    <n v="91"/>
    <n v="633"/>
    <n v="5910.89"/>
    <s v="Female"/>
    <n v="31"/>
    <n v="23"/>
    <n v="82"/>
    <n v="10"/>
    <s v="Carrier A"/>
    <n v="6.25"/>
    <x v="4"/>
    <s v="Delhi"/>
    <n v="20"/>
    <n v="306"/>
    <x v="15"/>
    <n v="45.18"/>
    <s v="Fail"/>
    <n v="4.75"/>
    <s v="Rail"/>
    <s v="Route B"/>
    <n v="496.25"/>
  </r>
  <r>
    <x v="0"/>
    <s v="SKU51"/>
    <n v="26.7"/>
    <n v="61"/>
    <n v="154"/>
    <n v="9866.4699999999993"/>
    <s v="Male"/>
    <n v="100"/>
    <n v="4"/>
    <n v="52"/>
    <n v="1"/>
    <s v="Carrier A"/>
    <n v="4.78"/>
    <x v="2"/>
    <s v="Bangalore"/>
    <n v="18"/>
    <n v="673"/>
    <x v="19"/>
    <n v="14.19"/>
    <s v="Pending"/>
    <n v="1.77"/>
    <s v="Road"/>
    <s v="Route A"/>
    <n v="694.98"/>
  </r>
  <r>
    <x v="1"/>
    <s v="SKU52"/>
    <n v="98.03"/>
    <n v="1"/>
    <n v="820"/>
    <n v="9435.76"/>
    <s v="Male"/>
    <n v="64"/>
    <n v="11"/>
    <n v="11"/>
    <n v="1"/>
    <s v="Carrier B"/>
    <n v="8.6300000000000008"/>
    <x v="1"/>
    <s v="Mumbai"/>
    <n v="10"/>
    <n v="727"/>
    <x v="2"/>
    <n v="9.17"/>
    <s v="Pending"/>
    <n v="2.12"/>
    <s v="Air"/>
    <s v="Route C"/>
    <n v="602.9"/>
  </r>
  <r>
    <x v="1"/>
    <s v="SKU53"/>
    <n v="30.34"/>
    <n v="93"/>
    <n v="242"/>
    <n v="8232.33"/>
    <s v="Male"/>
    <n v="96"/>
    <n v="25"/>
    <n v="54"/>
    <n v="3"/>
    <s v="Carrier B"/>
    <n v="1.01"/>
    <x v="1"/>
    <s v="Delhi"/>
    <n v="1"/>
    <n v="631"/>
    <x v="5"/>
    <n v="83.34"/>
    <s v="Pending"/>
    <n v="1.41"/>
    <s v="Air"/>
    <s v="Route B"/>
    <n v="750.74"/>
  </r>
  <r>
    <x v="0"/>
    <s v="SKU54"/>
    <n v="31.15"/>
    <n v="11"/>
    <n v="622"/>
    <n v="6088.02"/>
    <s v="Non-binary"/>
    <n v="33"/>
    <n v="22"/>
    <n v="61"/>
    <n v="3"/>
    <s v="Carrier B"/>
    <n v="4.3099999999999996"/>
    <x v="1"/>
    <s v="Kolkata"/>
    <n v="26"/>
    <n v="497"/>
    <x v="0"/>
    <n v="30.19"/>
    <s v="Pass"/>
    <n v="2.48"/>
    <s v="Road"/>
    <s v="Route B"/>
    <n v="814.07"/>
  </r>
  <r>
    <x v="0"/>
    <s v="SKU55"/>
    <n v="79.86"/>
    <n v="16"/>
    <n v="701"/>
    <n v="2925.68"/>
    <s v="Male"/>
    <n v="97"/>
    <n v="11"/>
    <n v="11"/>
    <n v="5"/>
    <s v="Carrier A"/>
    <n v="5.01"/>
    <x v="4"/>
    <s v="Delhi"/>
    <n v="27"/>
    <n v="918"/>
    <x v="10"/>
    <n v="30.32"/>
    <s v="Fail"/>
    <n v="4.55"/>
    <s v="Sea"/>
    <s v="Route B"/>
    <n v="323.01"/>
  </r>
  <r>
    <x v="1"/>
    <s v="SKU56"/>
    <n v="20.99"/>
    <n v="90"/>
    <n v="93"/>
    <n v="4767.0200000000004"/>
    <s v="Non-binary"/>
    <n v="25"/>
    <n v="23"/>
    <n v="83"/>
    <n v="5"/>
    <s v="Carrier C"/>
    <n v="1.77"/>
    <x v="1"/>
    <s v="Mumbai"/>
    <n v="24"/>
    <n v="826"/>
    <x v="19"/>
    <n v="12.84"/>
    <s v="Pass"/>
    <n v="1.17"/>
    <s v="Air"/>
    <s v="Route B"/>
    <n v="832.21"/>
  </r>
  <r>
    <x v="0"/>
    <s v="SKU57"/>
    <n v="49.26"/>
    <n v="65"/>
    <n v="227"/>
    <n v="1605.87"/>
    <s v="Unknown"/>
    <n v="5"/>
    <n v="18"/>
    <n v="51"/>
    <n v="1"/>
    <s v="Carrier B"/>
    <n v="9.16"/>
    <x v="4"/>
    <s v="Delhi"/>
    <n v="21"/>
    <n v="588"/>
    <x v="24"/>
    <n v="67.78"/>
    <s v="Pending"/>
    <n v="2.5099999999999998"/>
    <s v="Rail"/>
    <s v="Route A"/>
    <n v="482.19"/>
  </r>
  <r>
    <x v="1"/>
    <s v="SKU58"/>
    <n v="59.84"/>
    <n v="81"/>
    <n v="896"/>
    <n v="2021.15"/>
    <s v="Non-binary"/>
    <n v="10"/>
    <n v="5"/>
    <n v="44"/>
    <n v="7"/>
    <s v="Carrier A"/>
    <n v="4.9400000000000004"/>
    <x v="0"/>
    <s v="Delhi"/>
    <n v="18"/>
    <n v="396"/>
    <x v="14"/>
    <n v="65.05"/>
    <s v="Fail"/>
    <n v="1.73"/>
    <s v="Road"/>
    <s v="Route B"/>
    <n v="110.36"/>
  </r>
  <r>
    <x v="2"/>
    <s v="SKU59"/>
    <n v="63.83"/>
    <n v="30"/>
    <n v="484"/>
    <n v="1061.6199999999999"/>
    <s v="Non-binary"/>
    <n v="100"/>
    <n v="16"/>
    <n v="26"/>
    <n v="7"/>
    <s v="Carrier B"/>
    <n v="7.29"/>
    <x v="1"/>
    <s v="Kolkata"/>
    <n v="11"/>
    <n v="176"/>
    <x v="18"/>
    <n v="1.9"/>
    <s v="Fail"/>
    <n v="0.45"/>
    <s v="Air"/>
    <s v="Route A"/>
    <n v="312.57"/>
  </r>
  <r>
    <x v="1"/>
    <s v="SKU60"/>
    <n v="17.03"/>
    <n v="16"/>
    <n v="380"/>
    <n v="8864.08"/>
    <s v="Female"/>
    <n v="41"/>
    <n v="27"/>
    <n v="72"/>
    <n v="8"/>
    <s v="Carrier C"/>
    <n v="4.38"/>
    <x v="3"/>
    <s v="Mumbai"/>
    <n v="29"/>
    <n v="929"/>
    <x v="6"/>
    <n v="87.21"/>
    <s v="Fail"/>
    <n v="2.85"/>
    <s v="Rail"/>
    <s v="Route A"/>
    <n v="430.17"/>
  </r>
  <r>
    <x v="0"/>
    <s v="SKU61"/>
    <n v="52.03"/>
    <n v="23"/>
    <n v="117"/>
    <n v="6885.59"/>
    <s v="Unknown"/>
    <n v="32"/>
    <n v="23"/>
    <n v="36"/>
    <n v="7"/>
    <s v="Carrier C"/>
    <n v="9.0299999999999994"/>
    <x v="3"/>
    <s v="Kolkata"/>
    <n v="14"/>
    <n v="480"/>
    <x v="23"/>
    <n v="78.7"/>
    <s v="Fail"/>
    <n v="4.37"/>
    <s v="Air"/>
    <s v="Route A"/>
    <n v="164.37"/>
  </r>
  <r>
    <x v="2"/>
    <s v="SKU62"/>
    <n v="72.8"/>
    <n v="89"/>
    <n v="270"/>
    <n v="3899.75"/>
    <s v="Unknown"/>
    <n v="86"/>
    <n v="2"/>
    <n v="40"/>
    <n v="7"/>
    <s v="Carrier C"/>
    <n v="7.29"/>
    <x v="4"/>
    <s v="Mumbai"/>
    <n v="13"/>
    <n v="751"/>
    <x v="13"/>
    <n v="21.05"/>
    <s v="Pass"/>
    <n v="1.87"/>
    <s v="Sea"/>
    <s v="Route C"/>
    <n v="320.85000000000002"/>
  </r>
  <r>
    <x v="1"/>
    <s v="SKU63"/>
    <n v="13.02"/>
    <n v="55"/>
    <n v="246"/>
    <n v="4256.95"/>
    <s v="Non-binary"/>
    <n v="54"/>
    <n v="19"/>
    <n v="10"/>
    <n v="4"/>
    <s v="Carrier A"/>
    <n v="2.46"/>
    <x v="0"/>
    <s v="Bangalore"/>
    <n v="18"/>
    <n v="736"/>
    <x v="12"/>
    <n v="20.079999999999998"/>
    <s v="Pending"/>
    <n v="3.63"/>
    <s v="Sea"/>
    <s v="Route A"/>
    <n v="687.29"/>
  </r>
  <r>
    <x v="1"/>
    <s v="SKU64"/>
    <n v="89.63"/>
    <n v="11"/>
    <n v="134"/>
    <n v="8458.73"/>
    <s v="Female"/>
    <n v="73"/>
    <n v="27"/>
    <n v="75"/>
    <n v="6"/>
    <s v="Carrier C"/>
    <n v="4.59"/>
    <x v="1"/>
    <s v="Delhi"/>
    <n v="17"/>
    <n v="328"/>
    <x v="17"/>
    <n v="8.69"/>
    <s v="Fail"/>
    <n v="0.16"/>
    <s v="Air"/>
    <s v="Route C"/>
    <n v="771.23"/>
  </r>
  <r>
    <x v="1"/>
    <s v="SKU65"/>
    <n v="33.700000000000003"/>
    <n v="72"/>
    <n v="457"/>
    <n v="8354.58"/>
    <s v="Male"/>
    <n v="57"/>
    <n v="24"/>
    <n v="54"/>
    <n v="8"/>
    <s v="Carrier C"/>
    <n v="6.58"/>
    <x v="2"/>
    <s v="Kolkata"/>
    <n v="16"/>
    <n v="358"/>
    <x v="15"/>
    <n v="1.6"/>
    <s v="Fail"/>
    <n v="4.91"/>
    <s v="Rail"/>
    <s v="Route C"/>
    <n v="555.86"/>
  </r>
  <r>
    <x v="1"/>
    <s v="SKU66"/>
    <n v="26.03"/>
    <n v="52"/>
    <n v="704"/>
    <n v="8367.7199999999993"/>
    <s v="Female"/>
    <n v="13"/>
    <n v="17"/>
    <n v="19"/>
    <n v="8"/>
    <s v="Carrier A"/>
    <n v="2.2200000000000002"/>
    <x v="2"/>
    <s v="Kolkata"/>
    <n v="24"/>
    <n v="867"/>
    <x v="19"/>
    <n v="42.08"/>
    <s v="Fail"/>
    <n v="3.45"/>
    <s v="Road"/>
    <s v="Route A"/>
    <n v="393.84"/>
  </r>
  <r>
    <x v="1"/>
    <s v="SKU67"/>
    <n v="87.76"/>
    <n v="16"/>
    <n v="513"/>
    <n v="9473.7999999999993"/>
    <s v="Unknown"/>
    <n v="12"/>
    <n v="9"/>
    <n v="71"/>
    <n v="9"/>
    <s v="Carrier C"/>
    <n v="9.15"/>
    <x v="1"/>
    <s v="Mumbai"/>
    <n v="10"/>
    <n v="198"/>
    <x v="11"/>
    <n v="7.06"/>
    <s v="Pass"/>
    <n v="0.13"/>
    <s v="Sea"/>
    <s v="Route C"/>
    <n v="169.27"/>
  </r>
  <r>
    <x v="0"/>
    <s v="SKU68"/>
    <n v="37.93"/>
    <n v="29"/>
    <n v="163"/>
    <n v="3550.22"/>
    <s v="Non-binary"/>
    <n v="0"/>
    <n v="8"/>
    <n v="58"/>
    <n v="8"/>
    <s v="Carrier B"/>
    <n v="1.19"/>
    <x v="4"/>
    <s v="Bangalore"/>
    <n v="2"/>
    <n v="375"/>
    <x v="3"/>
    <n v="97.11"/>
    <s v="Fail"/>
    <n v="1.98"/>
    <s v="Rail"/>
    <s v="Route A"/>
    <n v="299.70999999999998"/>
  </r>
  <r>
    <x v="1"/>
    <s v="SKU69"/>
    <n v="54.87"/>
    <n v="62"/>
    <n v="511"/>
    <n v="1752.38"/>
    <s v="Non-binary"/>
    <n v="95"/>
    <n v="1"/>
    <n v="27"/>
    <n v="3"/>
    <s v="Carrier B"/>
    <n v="9.7100000000000009"/>
    <x v="3"/>
    <s v="Kolkata"/>
    <n v="9"/>
    <n v="862"/>
    <x v="14"/>
    <n v="77.63"/>
    <s v="Pending"/>
    <n v="1.36"/>
    <s v="Air"/>
    <s v="Route A"/>
    <n v="207.66"/>
  </r>
  <r>
    <x v="0"/>
    <s v="SKU70"/>
    <n v="47.91"/>
    <n v="90"/>
    <n v="32"/>
    <n v="7014.89"/>
    <s v="Female"/>
    <n v="10"/>
    <n v="12"/>
    <n v="22"/>
    <n v="4"/>
    <s v="Carrier B"/>
    <n v="6.32"/>
    <x v="1"/>
    <s v="Bangalore"/>
    <n v="22"/>
    <n v="775"/>
    <x v="16"/>
    <n v="11.44"/>
    <s v="Pass"/>
    <n v="1.83"/>
    <s v="Road"/>
    <s v="Route C"/>
    <n v="183.27"/>
  </r>
  <r>
    <x v="2"/>
    <s v="SKU71"/>
    <n v="6.38"/>
    <n v="14"/>
    <n v="637"/>
    <n v="8180.34"/>
    <s v="Female"/>
    <n v="76"/>
    <n v="2"/>
    <n v="26"/>
    <n v="6"/>
    <s v="Carrier A"/>
    <n v="9.23"/>
    <x v="4"/>
    <s v="Bangalore"/>
    <n v="2"/>
    <n v="258"/>
    <x v="12"/>
    <n v="30.66"/>
    <s v="Pending"/>
    <n v="2.08"/>
    <s v="Road"/>
    <s v="Route A"/>
    <n v="405.17"/>
  </r>
  <r>
    <x v="2"/>
    <s v="SKU72"/>
    <n v="90.2"/>
    <n v="88"/>
    <n v="478"/>
    <n v="2633.12"/>
    <s v="Non-binary"/>
    <n v="57"/>
    <n v="29"/>
    <n v="77"/>
    <n v="9"/>
    <s v="Carrier A"/>
    <n v="6.6"/>
    <x v="1"/>
    <s v="Bangalore"/>
    <n v="21"/>
    <n v="152"/>
    <x v="11"/>
    <n v="55.76"/>
    <s v="Pending"/>
    <n v="3.21"/>
    <s v="Rail"/>
    <s v="Route B"/>
    <n v="677.94"/>
  </r>
  <r>
    <x v="2"/>
    <s v="SKU73"/>
    <n v="83.85"/>
    <n v="41"/>
    <n v="375"/>
    <n v="7910.89"/>
    <s v="Male"/>
    <n v="17"/>
    <n v="25"/>
    <n v="66"/>
    <n v="5"/>
    <s v="Carrier B"/>
    <n v="1.51"/>
    <x v="3"/>
    <s v="Chennai"/>
    <n v="13"/>
    <n v="444"/>
    <x v="18"/>
    <n v="46.87"/>
    <s v="Fail"/>
    <n v="4.62"/>
    <s v="Road"/>
    <s v="Route A"/>
    <n v="866.47"/>
  </r>
  <r>
    <x v="0"/>
    <s v="SKU74"/>
    <n v="3.17"/>
    <n v="64"/>
    <n v="904"/>
    <n v="5709.95"/>
    <s v="Female"/>
    <n v="41"/>
    <n v="6"/>
    <n v="1"/>
    <n v="5"/>
    <s v="Carrier A"/>
    <n v="5.24"/>
    <x v="3"/>
    <s v="Delhi"/>
    <n v="1"/>
    <n v="919"/>
    <x v="26"/>
    <n v="80.58"/>
    <s v="Fail"/>
    <n v="0.4"/>
    <s v="Rail"/>
    <s v="Route A"/>
    <n v="341.55"/>
  </r>
  <r>
    <x v="1"/>
    <s v="SKU75"/>
    <n v="93"/>
    <n v="29"/>
    <n v="106"/>
    <n v="1889.07"/>
    <s v="Non-binary"/>
    <n v="16"/>
    <n v="20"/>
    <n v="56"/>
    <n v="10"/>
    <s v="Carrier C"/>
    <n v="2.4700000000000002"/>
    <x v="1"/>
    <s v="Chennai"/>
    <n v="25"/>
    <n v="759"/>
    <x v="11"/>
    <n v="48.06"/>
    <s v="Pass"/>
    <n v="2.0299999999999998"/>
    <s v="Air"/>
    <s v="Route C"/>
    <n v="873.13"/>
  </r>
  <r>
    <x v="0"/>
    <s v="SKU76"/>
    <n v="69.11"/>
    <n v="23"/>
    <n v="241"/>
    <n v="5328.38"/>
    <s v="Male"/>
    <n v="38"/>
    <n v="1"/>
    <n v="22"/>
    <n v="10"/>
    <s v="Carrier A"/>
    <n v="7.05"/>
    <x v="4"/>
    <s v="Bangalore"/>
    <n v="25"/>
    <n v="985"/>
    <x v="6"/>
    <n v="64.319999999999993"/>
    <s v="Pending"/>
    <n v="2.1800000000000002"/>
    <s v="Rail"/>
    <s v="Route A"/>
    <n v="997.41"/>
  </r>
  <r>
    <x v="0"/>
    <s v="SKU77"/>
    <n v="57.45"/>
    <n v="14"/>
    <n v="359"/>
    <n v="2483.7600000000002"/>
    <s v="Unknown"/>
    <n v="96"/>
    <n v="28"/>
    <n v="57"/>
    <n v="4"/>
    <s v="Carrier B"/>
    <n v="6.78"/>
    <x v="1"/>
    <s v="Kolkata"/>
    <n v="26"/>
    <n v="334"/>
    <x v="10"/>
    <n v="42.95"/>
    <s v="Pass"/>
    <n v="3.06"/>
    <s v="Road"/>
    <s v="Route B"/>
    <n v="852.57"/>
  </r>
  <r>
    <x v="0"/>
    <s v="SKU78"/>
    <n v="6.31"/>
    <n v="50"/>
    <n v="946"/>
    <n v="1292.46"/>
    <s v="Unknown"/>
    <n v="5"/>
    <n v="4"/>
    <n v="51"/>
    <n v="5"/>
    <s v="Carrier B"/>
    <n v="8.4700000000000006"/>
    <x v="2"/>
    <s v="Mumbai"/>
    <n v="25"/>
    <n v="858"/>
    <x v="15"/>
    <n v="71.13"/>
    <s v="Pending"/>
    <n v="4.0999999999999996"/>
    <s v="Sea"/>
    <s v="Route C"/>
    <n v="323.58999999999997"/>
  </r>
  <r>
    <x v="0"/>
    <s v="SKU79"/>
    <n v="57.06"/>
    <n v="56"/>
    <n v="198"/>
    <n v="7888.72"/>
    <s v="Non-binary"/>
    <n v="31"/>
    <n v="25"/>
    <n v="20"/>
    <n v="1"/>
    <s v="Carrier B"/>
    <n v="6.5"/>
    <x v="0"/>
    <s v="Bangalore"/>
    <n v="5"/>
    <n v="228"/>
    <x v="23"/>
    <n v="57.87"/>
    <s v="Pending"/>
    <n v="0.17"/>
    <s v="Air"/>
    <s v="Route C"/>
    <n v="351.5"/>
  </r>
  <r>
    <x v="1"/>
    <s v="SKU80"/>
    <n v="91.13"/>
    <n v="75"/>
    <n v="872"/>
    <n v="8651.67"/>
    <s v="Unknown"/>
    <n v="39"/>
    <n v="14"/>
    <n v="41"/>
    <n v="2"/>
    <s v="Carrier C"/>
    <n v="2.83"/>
    <x v="0"/>
    <s v="Chennai"/>
    <n v="8"/>
    <n v="202"/>
    <x v="10"/>
    <n v="76.959999999999994"/>
    <s v="Fail"/>
    <n v="2.85"/>
    <s v="Sea"/>
    <s v="Route B"/>
    <n v="787.78"/>
  </r>
  <r>
    <x v="0"/>
    <s v="SKU81"/>
    <n v="72.819999999999993"/>
    <n v="9"/>
    <n v="774"/>
    <n v="4384.41"/>
    <s v="Unknown"/>
    <n v="48"/>
    <n v="6"/>
    <n v="8"/>
    <n v="5"/>
    <s v="Carrier B"/>
    <n v="4.07"/>
    <x v="0"/>
    <s v="Delhi"/>
    <n v="28"/>
    <n v="698"/>
    <x v="7"/>
    <n v="19.79"/>
    <s v="Pending"/>
    <n v="2.5499999999999998"/>
    <s v="Rail"/>
    <s v="Route B"/>
    <n v="276.77999999999997"/>
  </r>
  <r>
    <x v="1"/>
    <s v="SKU82"/>
    <n v="17.03"/>
    <n v="13"/>
    <n v="336"/>
    <n v="2943.38"/>
    <s v="Unknown"/>
    <n v="42"/>
    <n v="19"/>
    <n v="72"/>
    <n v="1"/>
    <s v="Carrier A"/>
    <n v="4.71"/>
    <x v="4"/>
    <s v="Mumbai"/>
    <n v="6"/>
    <n v="955"/>
    <x v="27"/>
    <n v="4.47"/>
    <s v="Pending"/>
    <n v="4.1399999999999997"/>
    <s v="Road"/>
    <s v="Route C"/>
    <n v="589.98"/>
  </r>
  <r>
    <x v="0"/>
    <s v="SKU83"/>
    <n v="68.91"/>
    <n v="82"/>
    <n v="663"/>
    <n v="2411.75"/>
    <s v="Unknown"/>
    <n v="65"/>
    <n v="24"/>
    <n v="7"/>
    <n v="8"/>
    <s v="Carrier B"/>
    <n v="4.95"/>
    <x v="1"/>
    <s v="Bangalore"/>
    <n v="20"/>
    <n v="443"/>
    <x v="10"/>
    <n v="97.73"/>
    <s v="Fail"/>
    <n v="0.77"/>
    <s v="Road"/>
    <s v="Route A"/>
    <n v="682.97"/>
  </r>
  <r>
    <x v="0"/>
    <s v="SKU84"/>
    <n v="89.1"/>
    <n v="99"/>
    <n v="618"/>
    <n v="2048.29"/>
    <s v="Unknown"/>
    <n v="73"/>
    <n v="26"/>
    <n v="80"/>
    <n v="10"/>
    <s v="Carrier A"/>
    <n v="8.3800000000000008"/>
    <x v="2"/>
    <s v="Chennai"/>
    <n v="24"/>
    <n v="589"/>
    <x v="28"/>
    <n v="33.81"/>
    <s v="Pass"/>
    <n v="4.84"/>
    <s v="Air"/>
    <s v="Route B"/>
    <n v="465.46"/>
  </r>
  <r>
    <x v="2"/>
    <s v="SKU85"/>
    <n v="76.959999999999994"/>
    <n v="83"/>
    <n v="25"/>
    <n v="8684.61"/>
    <s v="Female"/>
    <n v="15"/>
    <n v="18"/>
    <n v="66"/>
    <n v="2"/>
    <s v="Carrier C"/>
    <n v="8.25"/>
    <x v="2"/>
    <s v="Chennai"/>
    <n v="4"/>
    <n v="211"/>
    <x v="20"/>
    <n v="69.930000000000007"/>
    <s v="Fail"/>
    <n v="1.37"/>
    <s v="Road"/>
    <s v="Route B"/>
    <n v="842.69"/>
  </r>
  <r>
    <x v="1"/>
    <s v="SKU86"/>
    <n v="20"/>
    <n v="18"/>
    <n v="223"/>
    <n v="1229.5899999999999"/>
    <s v="Unknown"/>
    <n v="32"/>
    <n v="14"/>
    <n v="22"/>
    <n v="6"/>
    <s v="Carrier B"/>
    <n v="1.45"/>
    <x v="1"/>
    <s v="Mumbai"/>
    <n v="4"/>
    <n v="569"/>
    <x v="3"/>
    <n v="74.61"/>
    <s v="Pass"/>
    <n v="2.0499999999999998"/>
    <s v="Rail"/>
    <s v="Route A"/>
    <n v="264.25"/>
  </r>
  <r>
    <x v="0"/>
    <s v="SKU87"/>
    <n v="80.41"/>
    <n v="24"/>
    <n v="79"/>
    <n v="5133.8500000000004"/>
    <s v="Male"/>
    <n v="5"/>
    <n v="7"/>
    <n v="55"/>
    <n v="10"/>
    <s v="Carrier A"/>
    <n v="6.58"/>
    <x v="0"/>
    <s v="Chennai"/>
    <n v="27"/>
    <n v="523"/>
    <x v="5"/>
    <n v="28.7"/>
    <s v="Fail"/>
    <n v="3.69"/>
    <s v="Sea"/>
    <s v="Route B"/>
    <n v="879.36"/>
  </r>
  <r>
    <x v="2"/>
    <s v="SKU88"/>
    <n v="75.27"/>
    <n v="58"/>
    <n v="737"/>
    <n v="9444.74"/>
    <s v="Male"/>
    <n v="60"/>
    <n v="18"/>
    <n v="85"/>
    <n v="7"/>
    <s v="Carrier A"/>
    <n v="3.8"/>
    <x v="4"/>
    <s v="Mumbai"/>
    <n v="21"/>
    <n v="953"/>
    <x v="11"/>
    <n v="68.180000000000007"/>
    <s v="Pending"/>
    <n v="0.72"/>
    <s v="Sea"/>
    <s v="Route A"/>
    <n v="103.92"/>
  </r>
  <r>
    <x v="2"/>
    <s v="SKU89"/>
    <n v="97.76"/>
    <n v="10"/>
    <n v="134"/>
    <n v="5924.68"/>
    <s v="Unknown"/>
    <n v="90"/>
    <n v="1"/>
    <n v="27"/>
    <n v="8"/>
    <s v="Carrier B"/>
    <n v="9.93"/>
    <x v="1"/>
    <s v="Kolkata"/>
    <n v="23"/>
    <n v="370"/>
    <x v="11"/>
    <n v="46.6"/>
    <s v="Pending"/>
    <n v="1.91"/>
    <s v="Rail"/>
    <s v="Route B"/>
    <n v="517.5"/>
  </r>
  <r>
    <x v="1"/>
    <s v="SKU90"/>
    <n v="13.88"/>
    <n v="56"/>
    <n v="320"/>
    <n v="9592.6299999999992"/>
    <s v="Non-binary"/>
    <n v="66"/>
    <n v="18"/>
    <n v="96"/>
    <n v="7"/>
    <s v="Carrier B"/>
    <n v="7.67"/>
    <x v="0"/>
    <s v="Bangalore"/>
    <n v="8"/>
    <n v="585"/>
    <x v="8"/>
    <n v="85.68"/>
    <s v="Pass"/>
    <n v="1.22"/>
    <s v="Rail"/>
    <s v="Route B"/>
    <n v="990.08"/>
  </r>
  <r>
    <x v="2"/>
    <s v="SKU91"/>
    <n v="62.11"/>
    <n v="90"/>
    <n v="916"/>
    <n v="1935.21"/>
    <s v="Male"/>
    <n v="98"/>
    <n v="22"/>
    <n v="85"/>
    <n v="7"/>
    <s v="Carrier B"/>
    <n v="7.47"/>
    <x v="3"/>
    <s v="Delhi"/>
    <n v="5"/>
    <n v="207"/>
    <x v="19"/>
    <n v="39.770000000000003"/>
    <s v="Pending"/>
    <n v="0.63"/>
    <s v="Rail"/>
    <s v="Route B"/>
    <n v="996.78"/>
  </r>
  <r>
    <x v="2"/>
    <s v="SKU92"/>
    <n v="47.71"/>
    <n v="44"/>
    <n v="276"/>
    <n v="2100.13"/>
    <s v="Male"/>
    <n v="90"/>
    <n v="25"/>
    <n v="10"/>
    <n v="8"/>
    <s v="Carrier B"/>
    <n v="4.47"/>
    <x v="4"/>
    <s v="Mumbai"/>
    <n v="4"/>
    <n v="671"/>
    <x v="0"/>
    <n v="62.61"/>
    <s v="Pass"/>
    <n v="0.33"/>
    <s v="Rail"/>
    <s v="Route B"/>
    <n v="230.09"/>
  </r>
  <r>
    <x v="0"/>
    <s v="SKU93"/>
    <n v="69.290000000000006"/>
    <n v="88"/>
    <n v="114"/>
    <n v="4531.3999999999996"/>
    <s v="Unknown"/>
    <n v="63"/>
    <n v="17"/>
    <n v="66"/>
    <n v="1"/>
    <s v="Carrier C"/>
    <n v="7.01"/>
    <x v="3"/>
    <s v="Chennai"/>
    <n v="21"/>
    <n v="824"/>
    <x v="25"/>
    <n v="35.630000000000003"/>
    <s v="Fail"/>
    <n v="4.17"/>
    <s v="Air"/>
    <s v="Route A"/>
    <n v="823.52"/>
  </r>
  <r>
    <x v="2"/>
    <s v="SKU94"/>
    <n v="3.04"/>
    <n v="97"/>
    <n v="987"/>
    <n v="7888.36"/>
    <s v="Unknown"/>
    <n v="77"/>
    <n v="26"/>
    <n v="72"/>
    <n v="9"/>
    <s v="Carrier B"/>
    <n v="6.94"/>
    <x v="4"/>
    <s v="Delhi"/>
    <n v="12"/>
    <n v="908"/>
    <x v="13"/>
    <n v="60.39"/>
    <s v="Pass"/>
    <n v="1.46"/>
    <s v="Rail"/>
    <s v="Route B"/>
    <n v="846.67"/>
  </r>
  <r>
    <x v="0"/>
    <s v="SKU95"/>
    <n v="77.900000000000006"/>
    <n v="65"/>
    <n v="672"/>
    <n v="7386.36"/>
    <s v="Unknown"/>
    <n v="15"/>
    <n v="14"/>
    <n v="26"/>
    <n v="9"/>
    <s v="Carrier B"/>
    <n v="8.6300000000000008"/>
    <x v="3"/>
    <s v="Mumbai"/>
    <n v="18"/>
    <n v="450"/>
    <x v="27"/>
    <n v="58.89"/>
    <s v="Pending"/>
    <n v="1.21"/>
    <s v="Air"/>
    <s v="Route A"/>
    <n v="778.86"/>
  </r>
  <r>
    <x v="2"/>
    <s v="SKU96"/>
    <n v="24.42"/>
    <n v="29"/>
    <n v="324"/>
    <n v="7698.42"/>
    <s v="Non-binary"/>
    <n v="67"/>
    <n v="2"/>
    <n v="32"/>
    <n v="3"/>
    <s v="Carrier C"/>
    <n v="5.35"/>
    <x v="0"/>
    <s v="Mumbai"/>
    <n v="28"/>
    <n v="648"/>
    <x v="19"/>
    <n v="17.8"/>
    <s v="Pending"/>
    <n v="3.87"/>
    <s v="Road"/>
    <s v="Route A"/>
    <n v="188.74"/>
  </r>
  <r>
    <x v="0"/>
    <s v="SKU97"/>
    <n v="3.53"/>
    <n v="56"/>
    <n v="62"/>
    <n v="4370.92"/>
    <s v="Male"/>
    <n v="46"/>
    <n v="19"/>
    <n v="4"/>
    <n v="9"/>
    <s v="Carrier A"/>
    <n v="7.9"/>
    <x v="3"/>
    <s v="Mumbai"/>
    <n v="10"/>
    <n v="535"/>
    <x v="29"/>
    <n v="65.77"/>
    <s v="Fail"/>
    <n v="3.38"/>
    <s v="Road"/>
    <s v="Route A"/>
    <n v="540.13"/>
  </r>
  <r>
    <x v="1"/>
    <s v="SKU98"/>
    <n v="19.75"/>
    <n v="43"/>
    <n v="913"/>
    <n v="8525.9500000000007"/>
    <s v="Female"/>
    <n v="53"/>
    <n v="1"/>
    <n v="27"/>
    <n v="7"/>
    <s v="Carrier B"/>
    <n v="1.41"/>
    <x v="2"/>
    <s v="Chennai"/>
    <n v="28"/>
    <n v="581"/>
    <x v="26"/>
    <n v="5.6"/>
    <s v="Pending"/>
    <n v="2.91"/>
    <s v="Rail"/>
    <s v="Route A"/>
    <n v="882.2"/>
  </r>
  <r>
    <x v="0"/>
    <s v="SKU99"/>
    <n v="68.52"/>
    <n v="17"/>
    <n v="627"/>
    <n v="9185.19"/>
    <s v="Unknown"/>
    <n v="55"/>
    <n v="8"/>
    <n v="59"/>
    <n v="6"/>
    <s v="Carrier B"/>
    <n v="1.31"/>
    <x v="4"/>
    <s v="Chennai"/>
    <n v="29"/>
    <n v="921"/>
    <x v="20"/>
    <n v="38.07"/>
    <s v="Fail"/>
    <n v="0.35"/>
    <s v="Rail"/>
    <s v="Route B"/>
    <n v="210.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2">
  <location ref="A3:B6" firstHeaderRow="1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Sum of Revenue generated" fld="5" showDataAs="percentOfCol" baseField="0" baseItem="0" numFmtId="9"/>
  </dataFields>
  <formats count="6">
    <format dxfId="23">
      <pivotArea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Dark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9">
  <location ref="A3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dataField="1" showAll="0">
      <items count="31">
        <item x="7"/>
        <item x="20"/>
        <item x="4"/>
        <item x="18"/>
        <item x="10"/>
        <item x="17"/>
        <item x="14"/>
        <item x="8"/>
        <item x="26"/>
        <item x="12"/>
        <item x="11"/>
        <item x="23"/>
        <item x="29"/>
        <item x="13"/>
        <item x="22"/>
        <item x="16"/>
        <item x="5"/>
        <item x="3"/>
        <item x="21"/>
        <item x="25"/>
        <item x="15"/>
        <item x="28"/>
        <item x="9"/>
        <item x="6"/>
        <item x="24"/>
        <item x="27"/>
        <item x="2"/>
        <item x="19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Manufacturing lead time" fld="17" subtotal="average" baseField="0" baseItem="0" numFmtId="2"/>
  </dataFields>
  <formats count="12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3" type="button" dataOnly="0" labelOnly="1" outline="0" axis="axisRow" fieldPosition="0"/>
    </format>
    <format dxfId="12">
      <pivotArea dataOnly="0" labelOnly="1" fieldPosition="0">
        <references count="1">
          <reference field="13" count="0"/>
        </references>
      </pivotArea>
    </format>
    <format dxfId="11">
      <pivotArea dataOnly="0" labelOnly="1" outline="0" axis="axisValues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13" type="button" dataOnly="0" labelOnly="1" outline="0" axis="axisRow" fieldPosition="0"/>
    </format>
    <format dxfId="7">
      <pivotArea dataOnly="0" labelOnly="1" fieldPosition="0">
        <references count="1">
          <reference field="13" count="0"/>
        </references>
      </pivotArea>
    </format>
    <format dxfId="6">
      <pivotArea dataOnly="0" labelOnly="1" outline="0" axis="axisValues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6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2">
  <location ref="A3:C8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Average of Lead times" fld="8" subtotal="average" baseField="0" baseItem="0"/>
    <dataField name="Average of Defect rates" fld="20" subtotal="average" baseField="0" baseItem="0"/>
  </dataFields>
  <formats count="6">
    <format dxfId="5">
      <pivotArea collapsedLevelsAreSubtotals="1" fieldPosition="0">
        <references count="1">
          <reference field="13" count="0"/>
        </references>
      </pivotArea>
    </format>
    <format dxfId="4">
      <pivotArea type="all" dataOnly="0" outline="0" fieldPosition="0"/>
    </format>
    <format dxfId="3">
      <pivotArea outline="0" collapsedLevelsAreSubtotals="1" fieldPosition="0"/>
    </format>
    <format dxfId="2">
      <pivotArea field="13" type="button" dataOnly="0" labelOnly="1" outline="0" axis="axisRow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102" totalsRowCount="1">
  <autoFilter ref="A1:X101" xr:uid="{00000000-0009-0000-0100-000001000000}"/>
  <tableColumns count="24">
    <tableColumn id="1" xr3:uid="{00000000-0010-0000-0000-000001000000}" name="Product type"/>
    <tableColumn id="2" xr3:uid="{00000000-0010-0000-0000-000002000000}" name="SKU"/>
    <tableColumn id="3" xr3:uid="{00000000-0010-0000-0000-000003000000}" name="Price" totalsRowFunction="custom">
      <totalsRowFormula>AVERAGE(Table1[Price])</totalsRowFormula>
    </tableColumn>
    <tableColumn id="4" xr3:uid="{00000000-0010-0000-0000-000004000000}" name="Availability"/>
    <tableColumn id="5" xr3:uid="{00000000-0010-0000-0000-000005000000}" name="Number of products sold" totalsRowFunction="custom">
      <totalsRowFormula>SUM(Table1[Number of products sold])</totalsRowFormula>
    </tableColumn>
    <tableColumn id="6" xr3:uid="{00000000-0010-0000-0000-000006000000}" name="Revenue generated" totalsRowFunction="custom">
      <totalsRowFormula>SUM(Table1[Revenue generated])</totalsRowFormula>
    </tableColumn>
    <tableColumn id="7" xr3:uid="{00000000-0010-0000-0000-000007000000}" name="Customer demographics"/>
    <tableColumn id="8" xr3:uid="{00000000-0010-0000-0000-000008000000}" name="Stock levels"/>
    <tableColumn id="9" xr3:uid="{00000000-0010-0000-0000-000009000000}" name="Lead times"/>
    <tableColumn id="10" xr3:uid="{00000000-0010-0000-0000-00000A000000}" name="Order quantities"/>
    <tableColumn id="11" xr3:uid="{00000000-0010-0000-0000-00000B000000}" name="Shipping times"/>
    <tableColumn id="12" xr3:uid="{00000000-0010-0000-0000-00000C000000}" name="Shipping carriers"/>
    <tableColumn id="13" xr3:uid="{00000000-0010-0000-0000-00000D000000}" name="Shipping costs"/>
    <tableColumn id="14" xr3:uid="{00000000-0010-0000-0000-00000E000000}" name="Supplier name"/>
    <tableColumn id="15" xr3:uid="{00000000-0010-0000-0000-00000F000000}" name="Location"/>
    <tableColumn id="16" xr3:uid="{00000000-0010-0000-0000-000010000000}" name="Lead time"/>
    <tableColumn id="17" xr3:uid="{00000000-0010-0000-0000-000011000000}" name="Production volumes"/>
    <tableColumn id="18" xr3:uid="{00000000-0010-0000-0000-000012000000}" name="Manufacturing lead time"/>
    <tableColumn id="19" xr3:uid="{00000000-0010-0000-0000-000013000000}" name="Manufacturing costs"/>
    <tableColumn id="20" xr3:uid="{00000000-0010-0000-0000-000014000000}" name="Inspection results"/>
    <tableColumn id="21" xr3:uid="{00000000-0010-0000-0000-000015000000}" name="Defect rates"/>
    <tableColumn id="22" xr3:uid="{00000000-0010-0000-0000-000016000000}" name="Transportation modes"/>
    <tableColumn id="23" xr3:uid="{00000000-0010-0000-0000-000017000000}" name="Routes"/>
    <tableColumn id="24" xr3:uid="{00000000-0010-0000-0000-000018000000}" name="Cos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F102"/>
  <sheetViews>
    <sheetView topLeftCell="A14" zoomScale="86" zoomScaleNormal="111" workbookViewId="0">
      <selection activeCell="A2" sqref="A2"/>
    </sheetView>
  </sheetViews>
  <sheetFormatPr defaultRowHeight="14.5" x14ac:dyDescent="0.35"/>
  <cols>
    <col min="1" max="1" width="13.6328125" customWidth="1"/>
    <col min="2" max="2" width="6.08984375" customWidth="1"/>
    <col min="3" max="3" width="6.90625" customWidth="1"/>
    <col min="4" max="4" width="11.90625" customWidth="1"/>
    <col min="5" max="5" width="23.6328125" customWidth="1"/>
    <col min="6" max="6" width="19" customWidth="1"/>
    <col min="7" max="7" width="23.1796875" customWidth="1"/>
    <col min="8" max="8" width="12.453125" customWidth="1"/>
    <col min="9" max="9" width="11.81640625" customWidth="1"/>
    <col min="10" max="10" width="16.6328125" customWidth="1"/>
    <col min="11" max="11" width="15" customWidth="1"/>
    <col min="12" max="12" width="16.6328125" customWidth="1"/>
    <col min="13" max="13" width="14.6328125" customWidth="1"/>
    <col min="14" max="14" width="14.81640625" customWidth="1"/>
    <col min="15" max="15" width="9.90625" customWidth="1"/>
    <col min="16" max="16" width="11" customWidth="1"/>
    <col min="17" max="17" width="19.54296875" customWidth="1"/>
    <col min="18" max="18" width="23.453125" customWidth="1"/>
    <col min="19" max="19" width="19.90625" customWidth="1"/>
    <col min="20" max="20" width="17.6328125" customWidth="1"/>
    <col min="21" max="21" width="13" customWidth="1"/>
    <col min="22" max="22" width="21.54296875" customWidth="1"/>
    <col min="23" max="23" width="8.6328125" customWidth="1"/>
    <col min="24" max="24" width="7.36328125" customWidth="1"/>
    <col min="26" max="26" width="8.90625" bestFit="1" customWidth="1"/>
    <col min="27" max="28" width="24" bestFit="1" customWidth="1"/>
    <col min="29" max="29" width="22.81640625" bestFit="1" customWidth="1"/>
    <col min="32" max="32" width="36.0898437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32" x14ac:dyDescent="0.35">
      <c r="A2" t="s">
        <v>24</v>
      </c>
      <c r="B2" t="s">
        <v>25</v>
      </c>
      <c r="C2">
        <v>69.81</v>
      </c>
      <c r="D2">
        <v>55</v>
      </c>
      <c r="E2">
        <v>802</v>
      </c>
      <c r="F2">
        <v>8662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2.96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46.28</v>
      </c>
      <c r="T2" t="s">
        <v>30</v>
      </c>
      <c r="U2">
        <v>0.23</v>
      </c>
      <c r="V2" t="s">
        <v>31</v>
      </c>
      <c r="W2" t="s">
        <v>32</v>
      </c>
      <c r="X2">
        <v>187.75</v>
      </c>
    </row>
    <row r="3" spans="1:32" x14ac:dyDescent="0.35">
      <c r="A3" t="s">
        <v>33</v>
      </c>
      <c r="B3" t="s">
        <v>34</v>
      </c>
      <c r="C3">
        <v>14.84</v>
      </c>
      <c r="D3">
        <v>95</v>
      </c>
      <c r="E3">
        <v>736</v>
      </c>
      <c r="F3">
        <v>7460.9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9.7200000000000006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33.619999999999997</v>
      </c>
      <c r="T3" t="s">
        <v>30</v>
      </c>
      <c r="U3">
        <v>4.8499999999999996</v>
      </c>
      <c r="V3" t="s">
        <v>31</v>
      </c>
      <c r="W3" t="s">
        <v>32</v>
      </c>
      <c r="X3">
        <v>503.07</v>
      </c>
    </row>
    <row r="4" spans="1:32" x14ac:dyDescent="0.35">
      <c r="A4" t="s">
        <v>24</v>
      </c>
      <c r="B4" t="s">
        <v>37</v>
      </c>
      <c r="C4">
        <v>11.32</v>
      </c>
      <c r="D4">
        <v>34</v>
      </c>
      <c r="E4">
        <v>8</v>
      </c>
      <c r="F4">
        <v>9577.75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8.0500000000000007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30.69</v>
      </c>
      <c r="T4" t="s">
        <v>30</v>
      </c>
      <c r="U4">
        <v>4.58</v>
      </c>
      <c r="V4" t="s">
        <v>40</v>
      </c>
      <c r="W4" t="s">
        <v>41</v>
      </c>
      <c r="X4">
        <v>141.91999999999999</v>
      </c>
    </row>
    <row r="5" spans="1:32" x14ac:dyDescent="0.35">
      <c r="A5" t="s">
        <v>33</v>
      </c>
      <c r="B5" t="s">
        <v>42</v>
      </c>
      <c r="C5">
        <v>61.16</v>
      </c>
      <c r="D5">
        <v>68</v>
      </c>
      <c r="E5">
        <v>83</v>
      </c>
      <c r="F5">
        <v>7766.84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1.73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35.619999999999997</v>
      </c>
      <c r="T5" t="s">
        <v>46</v>
      </c>
      <c r="U5">
        <v>4.75</v>
      </c>
      <c r="V5" t="s">
        <v>47</v>
      </c>
      <c r="W5" t="s">
        <v>48</v>
      </c>
      <c r="X5">
        <v>254.78</v>
      </c>
      <c r="Z5" t="s">
        <v>49</v>
      </c>
      <c r="AC5">
        <f>SUMIF(A2:A101,Z5,Table1[Revenue generated])</f>
        <v>161521.26999999996</v>
      </c>
    </row>
    <row r="6" spans="1:32" x14ac:dyDescent="0.35">
      <c r="A6" t="s">
        <v>33</v>
      </c>
      <c r="B6" t="s">
        <v>50</v>
      </c>
      <c r="C6">
        <v>4.8099999999999996</v>
      </c>
      <c r="D6">
        <v>26</v>
      </c>
      <c r="E6">
        <v>871</v>
      </c>
      <c r="F6">
        <v>2686.51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</v>
      </c>
      <c r="N6" t="s">
        <v>39</v>
      </c>
      <c r="O6" t="s">
        <v>51</v>
      </c>
      <c r="P6">
        <v>5</v>
      </c>
      <c r="Q6">
        <v>414</v>
      </c>
      <c r="R6">
        <v>3</v>
      </c>
      <c r="S6">
        <v>92.07</v>
      </c>
      <c r="T6" t="s">
        <v>46</v>
      </c>
      <c r="U6">
        <v>3.15</v>
      </c>
      <c r="V6" t="s">
        <v>40</v>
      </c>
      <c r="W6" t="s">
        <v>48</v>
      </c>
      <c r="X6">
        <v>923.44</v>
      </c>
      <c r="Z6" t="s">
        <v>33</v>
      </c>
      <c r="AC6">
        <f>SUMIF(A3:A102,Z6,Table1[Revenue generated])</f>
        <v>232435.31000000003</v>
      </c>
    </row>
    <row r="7" spans="1:32" x14ac:dyDescent="0.35">
      <c r="A7" t="s">
        <v>24</v>
      </c>
      <c r="B7" t="s">
        <v>52</v>
      </c>
      <c r="C7">
        <v>1.7</v>
      </c>
      <c r="D7">
        <v>87</v>
      </c>
      <c r="E7">
        <v>147</v>
      </c>
      <c r="F7">
        <v>2828.35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4.4400000000000004</v>
      </c>
      <c r="N7" t="s">
        <v>53</v>
      </c>
      <c r="O7" t="s">
        <v>54</v>
      </c>
      <c r="P7">
        <v>10</v>
      </c>
      <c r="Q7">
        <v>104</v>
      </c>
      <c r="R7">
        <v>17</v>
      </c>
      <c r="S7">
        <v>56.77</v>
      </c>
      <c r="T7" t="s">
        <v>46</v>
      </c>
      <c r="U7">
        <v>2.78</v>
      </c>
      <c r="V7" t="s">
        <v>31</v>
      </c>
      <c r="W7" t="s">
        <v>48</v>
      </c>
      <c r="X7">
        <v>235.46</v>
      </c>
      <c r="Z7" t="s">
        <v>24</v>
      </c>
      <c r="AC7">
        <f>SUMIF(A4:A103,Z7,Table1[Revenue generated])</f>
        <v>182469.15</v>
      </c>
    </row>
    <row r="8" spans="1:32" x14ac:dyDescent="0.35">
      <c r="A8" t="s">
        <v>33</v>
      </c>
      <c r="B8" t="s">
        <v>55</v>
      </c>
      <c r="C8">
        <v>4.08</v>
      </c>
      <c r="D8">
        <v>48</v>
      </c>
      <c r="E8">
        <v>65</v>
      </c>
      <c r="F8">
        <v>7823.48</v>
      </c>
      <c r="G8" t="s">
        <v>56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1.0900000000000001</v>
      </c>
      <c r="T8" t="s">
        <v>30</v>
      </c>
      <c r="U8">
        <v>1</v>
      </c>
      <c r="V8" t="s">
        <v>57</v>
      </c>
      <c r="W8" t="s">
        <v>48</v>
      </c>
      <c r="X8">
        <v>134.37</v>
      </c>
      <c r="AC8" t="s">
        <v>155</v>
      </c>
    </row>
    <row r="9" spans="1:32" x14ac:dyDescent="0.35">
      <c r="A9" t="s">
        <v>49</v>
      </c>
      <c r="B9" t="s">
        <v>58</v>
      </c>
      <c r="C9">
        <v>42.96</v>
      </c>
      <c r="D9">
        <v>59</v>
      </c>
      <c r="E9">
        <v>426</v>
      </c>
      <c r="F9">
        <v>8496.1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2.35</v>
      </c>
      <c r="N9" t="s">
        <v>53</v>
      </c>
      <c r="O9" t="s">
        <v>54</v>
      </c>
      <c r="P9">
        <v>22</v>
      </c>
      <c r="Q9">
        <v>564</v>
      </c>
      <c r="R9">
        <v>1</v>
      </c>
      <c r="S9">
        <v>99.47</v>
      </c>
      <c r="T9" t="s">
        <v>46</v>
      </c>
      <c r="U9">
        <v>0.4</v>
      </c>
      <c r="V9" t="s">
        <v>31</v>
      </c>
      <c r="W9" t="s">
        <v>41</v>
      </c>
      <c r="X9">
        <v>802.06</v>
      </c>
    </row>
    <row r="10" spans="1:32" x14ac:dyDescent="0.35">
      <c r="A10" t="s">
        <v>49</v>
      </c>
      <c r="B10" t="s">
        <v>59</v>
      </c>
      <c r="C10">
        <v>68.72</v>
      </c>
      <c r="D10">
        <v>78</v>
      </c>
      <c r="E10">
        <v>150</v>
      </c>
      <c r="F10">
        <v>7517.36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</v>
      </c>
      <c r="N10" t="s">
        <v>53</v>
      </c>
      <c r="O10" t="s">
        <v>29</v>
      </c>
      <c r="P10">
        <v>13</v>
      </c>
      <c r="Q10">
        <v>769</v>
      </c>
      <c r="R10">
        <v>8</v>
      </c>
      <c r="S10">
        <v>11.42</v>
      </c>
      <c r="T10" t="s">
        <v>30</v>
      </c>
      <c r="U10">
        <v>2.71</v>
      </c>
      <c r="V10" t="s">
        <v>57</v>
      </c>
      <c r="W10" t="s">
        <v>32</v>
      </c>
      <c r="X10">
        <v>505.56</v>
      </c>
    </row>
    <row r="11" spans="1:32" x14ac:dyDescent="0.35">
      <c r="A11" t="s">
        <v>33</v>
      </c>
      <c r="B11" t="s">
        <v>60</v>
      </c>
      <c r="C11">
        <v>64.02</v>
      </c>
      <c r="D11">
        <v>35</v>
      </c>
      <c r="E11">
        <v>980</v>
      </c>
      <c r="F11">
        <v>4971.1499999999996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7.17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47.96</v>
      </c>
      <c r="T11" t="s">
        <v>30</v>
      </c>
      <c r="U11">
        <v>3.84</v>
      </c>
      <c r="V11" t="s">
        <v>47</v>
      </c>
      <c r="W11" t="s">
        <v>32</v>
      </c>
      <c r="X11">
        <v>995.93</v>
      </c>
    </row>
    <row r="12" spans="1:32" x14ac:dyDescent="0.35">
      <c r="A12" t="s">
        <v>33</v>
      </c>
      <c r="B12" t="s">
        <v>63</v>
      </c>
      <c r="C12">
        <v>15.71</v>
      </c>
      <c r="D12">
        <v>11</v>
      </c>
      <c r="E12">
        <v>996</v>
      </c>
      <c r="F12">
        <v>2330.9699999999998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96.53</v>
      </c>
      <c r="T12" t="s">
        <v>64</v>
      </c>
      <c r="U12">
        <v>1.73</v>
      </c>
      <c r="V12" t="s">
        <v>31</v>
      </c>
      <c r="W12" t="s">
        <v>32</v>
      </c>
      <c r="X12">
        <v>806.1</v>
      </c>
    </row>
    <row r="13" spans="1:32" x14ac:dyDescent="0.35">
      <c r="A13" t="s">
        <v>33</v>
      </c>
      <c r="B13" t="s">
        <v>65</v>
      </c>
      <c r="C13">
        <v>90.64</v>
      </c>
      <c r="D13">
        <v>95</v>
      </c>
      <c r="E13">
        <v>960</v>
      </c>
      <c r="F13">
        <v>6099.94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4.5199999999999996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</v>
      </c>
      <c r="T13" t="s">
        <v>30</v>
      </c>
      <c r="U13">
        <v>0.02</v>
      </c>
      <c r="V13" t="s">
        <v>40</v>
      </c>
      <c r="W13" t="s">
        <v>48</v>
      </c>
      <c r="X13">
        <v>126.72</v>
      </c>
      <c r="Z13" t="s">
        <v>39</v>
      </c>
      <c r="AA13">
        <f>SUMIF(Table1[Supplier name],Z13,Table1[Manufacturing costs])</f>
        <v>1221.8499999999999</v>
      </c>
      <c r="AB13">
        <f>AVERAGEIF(Table1[Supplier name],Z13,Table1[Lead times])</f>
        <v>16.777777777777779</v>
      </c>
      <c r="AC13">
        <f>SUMIF(Table1[Supplier name],Z13,Table1[Defect rates])</f>
        <v>48.69</v>
      </c>
      <c r="AE13" t="s">
        <v>36</v>
      </c>
      <c r="AF13">
        <f>SUMIF(Table1[Shipping carriers],AE13,Table1[Shipping costs])</f>
        <v>155.54000000000002</v>
      </c>
    </row>
    <row r="14" spans="1:32" x14ac:dyDescent="0.35">
      <c r="A14" t="s">
        <v>24</v>
      </c>
      <c r="B14" t="s">
        <v>66</v>
      </c>
      <c r="C14">
        <v>71.209999999999994</v>
      </c>
      <c r="D14">
        <v>41</v>
      </c>
      <c r="E14">
        <v>336</v>
      </c>
      <c r="F14">
        <v>2873.74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1.33</v>
      </c>
      <c r="N14" t="s">
        <v>53</v>
      </c>
      <c r="O14" t="s">
        <v>45</v>
      </c>
      <c r="P14">
        <v>3</v>
      </c>
      <c r="Q14">
        <v>563</v>
      </c>
      <c r="R14">
        <v>3</v>
      </c>
      <c r="S14">
        <v>32.32</v>
      </c>
      <c r="T14" t="s">
        <v>46</v>
      </c>
      <c r="U14">
        <v>2.16</v>
      </c>
      <c r="V14" t="s">
        <v>31</v>
      </c>
      <c r="W14" t="s">
        <v>32</v>
      </c>
      <c r="X14">
        <v>402.97</v>
      </c>
      <c r="Z14" t="s">
        <v>61</v>
      </c>
      <c r="AA14">
        <f>SUMIF(Table1[Supplier name],Z14,Table1[Manufacturing costs])</f>
        <v>915.68</v>
      </c>
      <c r="AB14">
        <f>AVERAGEIF(Table1[Supplier name],Z14,Table1[Lead times])</f>
        <v>16.227272727272727</v>
      </c>
      <c r="AC14">
        <f>SUMIF(Table1[Supplier name],Z14,Table1[Defect rates])</f>
        <v>51.959999999999987</v>
      </c>
      <c r="AE14" t="s">
        <v>27</v>
      </c>
      <c r="AF14">
        <f>SUMIF(Table1[Shipping carriers],AE14,Table1[Shipping costs])</f>
        <v>236.88999999999993</v>
      </c>
    </row>
    <row r="15" spans="1:32" x14ac:dyDescent="0.35">
      <c r="A15" t="s">
        <v>33</v>
      </c>
      <c r="B15" t="s">
        <v>67</v>
      </c>
      <c r="C15">
        <v>16.16</v>
      </c>
      <c r="D15">
        <v>5</v>
      </c>
      <c r="E15">
        <v>249</v>
      </c>
      <c r="F15">
        <v>4052.74</v>
      </c>
      <c r="G15" t="s">
        <v>56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9.5399999999999991</v>
      </c>
      <c r="N15" t="s">
        <v>44</v>
      </c>
      <c r="O15" t="s">
        <v>54</v>
      </c>
      <c r="P15">
        <v>23</v>
      </c>
      <c r="Q15">
        <v>173</v>
      </c>
      <c r="R15">
        <v>10</v>
      </c>
      <c r="S15">
        <v>97.83</v>
      </c>
      <c r="T15" t="s">
        <v>30</v>
      </c>
      <c r="U15">
        <v>1.63</v>
      </c>
      <c r="V15" t="s">
        <v>31</v>
      </c>
      <c r="W15" t="s">
        <v>32</v>
      </c>
      <c r="X15">
        <v>547.24</v>
      </c>
      <c r="Z15" t="s">
        <v>28</v>
      </c>
      <c r="AA15">
        <f>SUMIF(Table1[Supplier name],Z15,Table1[Manufacturing costs])</f>
        <v>654.52</v>
      </c>
      <c r="AB15">
        <f>AVERAGEIF(Table1[Supplier name],Z15,Table1[Lead times])</f>
        <v>14.333333333333334</v>
      </c>
      <c r="AC15">
        <f>SUMIF(Table1[Supplier name],Z15,Table1[Defect rates])</f>
        <v>36.99</v>
      </c>
      <c r="AE15" t="s">
        <v>43</v>
      </c>
      <c r="AF15">
        <f>SUMIF(Table1[Shipping carriers],AE15,Table1[Shipping costs])</f>
        <v>162.38999999999999</v>
      </c>
    </row>
    <row r="16" spans="1:32" x14ac:dyDescent="0.35">
      <c r="A16" t="s">
        <v>33</v>
      </c>
      <c r="B16" t="s">
        <v>68</v>
      </c>
      <c r="C16">
        <v>99.17</v>
      </c>
      <c r="D16">
        <v>26</v>
      </c>
      <c r="E16">
        <v>562</v>
      </c>
      <c r="F16">
        <v>8653.57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2.04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</v>
      </c>
      <c r="T16" t="s">
        <v>30</v>
      </c>
      <c r="U16">
        <v>0.1</v>
      </c>
      <c r="V16" t="s">
        <v>40</v>
      </c>
      <c r="W16" t="s">
        <v>32</v>
      </c>
      <c r="X16">
        <v>929.24</v>
      </c>
      <c r="Z16" t="s">
        <v>53</v>
      </c>
      <c r="AA16">
        <f>SUMIF(Table1[Supplier name],Z16,Table1[Manufacturing costs])</f>
        <v>1128.7600000000002</v>
      </c>
      <c r="AB16">
        <f>AVERAGEIF(Table1[Supplier name],Z16,Table1[Lead times])</f>
        <v>17</v>
      </c>
      <c r="AC16">
        <f>SUMIF(Table1[Supplier name],Z16,Table1[Defect rates])</f>
        <v>42.100000000000009</v>
      </c>
      <c r="AF16" t="s">
        <v>159</v>
      </c>
    </row>
    <row r="17" spans="1:29" x14ac:dyDescent="0.35">
      <c r="A17" t="s">
        <v>33</v>
      </c>
      <c r="B17" t="s">
        <v>69</v>
      </c>
      <c r="C17">
        <v>36.99</v>
      </c>
      <c r="D17">
        <v>94</v>
      </c>
      <c r="E17">
        <v>469</v>
      </c>
      <c r="F17">
        <v>5442.09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</v>
      </c>
      <c r="N17" t="s">
        <v>39</v>
      </c>
      <c r="O17" t="s">
        <v>54</v>
      </c>
      <c r="P17">
        <v>14</v>
      </c>
      <c r="Q17">
        <v>580</v>
      </c>
      <c r="R17">
        <v>7</v>
      </c>
      <c r="S17">
        <v>97.12</v>
      </c>
      <c r="T17" t="s">
        <v>64</v>
      </c>
      <c r="U17">
        <v>2.2599999999999998</v>
      </c>
      <c r="V17" t="s">
        <v>57</v>
      </c>
      <c r="W17" t="s">
        <v>32</v>
      </c>
      <c r="X17">
        <v>127.86</v>
      </c>
      <c r="Z17" t="s">
        <v>44</v>
      </c>
      <c r="AA17">
        <f>SUMIF(Table1[Supplier name],Z17,Table1[Manufacturing costs])</f>
        <v>805.83000000000027</v>
      </c>
      <c r="AB17">
        <f>AVERAGEIF(Table1[Supplier name],Z17,Table1[Lead times])</f>
        <v>14.722222222222221</v>
      </c>
      <c r="AC17">
        <f>SUMIF(Table1[Supplier name],Z17,Table1[Defect rates])</f>
        <v>47.97</v>
      </c>
    </row>
    <row r="18" spans="1:29" x14ac:dyDescent="0.35">
      <c r="A18" t="s">
        <v>33</v>
      </c>
      <c r="B18" t="s">
        <v>70</v>
      </c>
      <c r="C18">
        <v>7.55</v>
      </c>
      <c r="D18">
        <v>74</v>
      </c>
      <c r="E18">
        <v>280</v>
      </c>
      <c r="F18">
        <v>6453.8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4.1900000000000004</v>
      </c>
      <c r="N18" t="s">
        <v>39</v>
      </c>
      <c r="O18" t="s">
        <v>54</v>
      </c>
      <c r="P18">
        <v>3</v>
      </c>
      <c r="Q18">
        <v>399</v>
      </c>
      <c r="R18">
        <v>21</v>
      </c>
      <c r="S18">
        <v>77.11</v>
      </c>
      <c r="T18" t="s">
        <v>64</v>
      </c>
      <c r="U18">
        <v>1.01</v>
      </c>
      <c r="V18" t="s">
        <v>40</v>
      </c>
      <c r="W18" t="s">
        <v>48</v>
      </c>
      <c r="X18">
        <v>865.53</v>
      </c>
      <c r="AA18" t="s">
        <v>156</v>
      </c>
      <c r="AB18" t="s">
        <v>157</v>
      </c>
      <c r="AC18" t="s">
        <v>158</v>
      </c>
    </row>
    <row r="19" spans="1:29" x14ac:dyDescent="0.35">
      <c r="A19" t="s">
        <v>49</v>
      </c>
      <c r="B19" t="s">
        <v>71</v>
      </c>
      <c r="C19">
        <v>81.459999999999994</v>
      </c>
      <c r="D19">
        <v>82</v>
      </c>
      <c r="E19">
        <v>126</v>
      </c>
      <c r="F19">
        <v>2629.4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47.68</v>
      </c>
      <c r="T19" t="s">
        <v>46</v>
      </c>
      <c r="U19">
        <v>0.1</v>
      </c>
      <c r="V19" t="s">
        <v>40</v>
      </c>
      <c r="W19" t="s">
        <v>41</v>
      </c>
      <c r="X19">
        <v>670.93</v>
      </c>
    </row>
    <row r="20" spans="1:29" x14ac:dyDescent="0.35">
      <c r="A20" t="s">
        <v>24</v>
      </c>
      <c r="B20" t="s">
        <v>72</v>
      </c>
      <c r="C20">
        <v>36.44</v>
      </c>
      <c r="D20">
        <v>23</v>
      </c>
      <c r="E20">
        <v>620</v>
      </c>
      <c r="F20">
        <v>9364.67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4.34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27.11</v>
      </c>
      <c r="T20" t="s">
        <v>30</v>
      </c>
      <c r="U20">
        <v>2.23</v>
      </c>
      <c r="V20" t="s">
        <v>57</v>
      </c>
      <c r="W20" t="s">
        <v>48</v>
      </c>
      <c r="X20">
        <v>593.48</v>
      </c>
    </row>
    <row r="21" spans="1:29" x14ac:dyDescent="0.35">
      <c r="A21" t="s">
        <v>33</v>
      </c>
      <c r="B21" t="s">
        <v>73</v>
      </c>
      <c r="C21">
        <v>51.12</v>
      </c>
      <c r="D21">
        <v>100</v>
      </c>
      <c r="E21">
        <v>187</v>
      </c>
      <c r="F21">
        <v>2553.5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</v>
      </c>
      <c r="N21" t="s">
        <v>53</v>
      </c>
      <c r="O21" t="s">
        <v>62</v>
      </c>
      <c r="P21">
        <v>20</v>
      </c>
      <c r="Q21">
        <v>694</v>
      </c>
      <c r="R21">
        <v>16</v>
      </c>
      <c r="S21">
        <v>82.37</v>
      </c>
      <c r="T21" t="s">
        <v>46</v>
      </c>
      <c r="U21">
        <v>3.65</v>
      </c>
      <c r="V21" t="s">
        <v>31</v>
      </c>
      <c r="W21" t="s">
        <v>41</v>
      </c>
      <c r="X21">
        <v>477.31</v>
      </c>
    </row>
    <row r="22" spans="1:29" x14ac:dyDescent="0.35">
      <c r="A22" t="s">
        <v>33</v>
      </c>
      <c r="B22" t="s">
        <v>74</v>
      </c>
      <c r="C22">
        <v>96.34</v>
      </c>
      <c r="D22">
        <v>22</v>
      </c>
      <c r="E22">
        <v>320</v>
      </c>
      <c r="F22">
        <v>8128.03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8.8800000000000008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65.69</v>
      </c>
      <c r="T22" t="s">
        <v>64</v>
      </c>
      <c r="U22">
        <v>4.2300000000000004</v>
      </c>
      <c r="V22" t="s">
        <v>40</v>
      </c>
      <c r="W22" t="s">
        <v>32</v>
      </c>
      <c r="X22">
        <v>493.87</v>
      </c>
    </row>
    <row r="23" spans="1:29" x14ac:dyDescent="0.35">
      <c r="A23" t="s">
        <v>49</v>
      </c>
      <c r="B23" t="s">
        <v>75</v>
      </c>
      <c r="C23">
        <v>84.89</v>
      </c>
      <c r="D23">
        <v>60</v>
      </c>
      <c r="E23">
        <v>601</v>
      </c>
      <c r="F23">
        <v>7087.05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6.04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61.74</v>
      </c>
      <c r="T23" t="s">
        <v>30</v>
      </c>
      <c r="U23">
        <v>0.02</v>
      </c>
      <c r="V23" t="s">
        <v>40</v>
      </c>
      <c r="W23" t="s">
        <v>41</v>
      </c>
      <c r="X23">
        <v>523.36</v>
      </c>
    </row>
    <row r="24" spans="1:29" x14ac:dyDescent="0.35">
      <c r="A24" t="s">
        <v>24</v>
      </c>
      <c r="B24" t="s">
        <v>76</v>
      </c>
      <c r="C24">
        <v>27.68</v>
      </c>
      <c r="D24">
        <v>55</v>
      </c>
      <c r="E24">
        <v>884</v>
      </c>
      <c r="F24">
        <v>2390.81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9.57</v>
      </c>
      <c r="N24" t="s">
        <v>53</v>
      </c>
      <c r="O24" t="s">
        <v>45</v>
      </c>
      <c r="P24">
        <v>22</v>
      </c>
      <c r="Q24">
        <v>780</v>
      </c>
      <c r="R24">
        <v>28</v>
      </c>
      <c r="S24">
        <v>50.12</v>
      </c>
      <c r="T24" t="s">
        <v>46</v>
      </c>
      <c r="U24">
        <v>2.59</v>
      </c>
      <c r="V24" t="s">
        <v>47</v>
      </c>
      <c r="W24" t="s">
        <v>41</v>
      </c>
      <c r="X24">
        <v>205.57</v>
      </c>
    </row>
    <row r="25" spans="1:29" x14ac:dyDescent="0.35">
      <c r="A25" t="s">
        <v>49</v>
      </c>
      <c r="B25" t="s">
        <v>77</v>
      </c>
      <c r="C25">
        <v>4.32</v>
      </c>
      <c r="D25">
        <v>30</v>
      </c>
      <c r="E25">
        <v>391</v>
      </c>
      <c r="F25">
        <v>8858.3700000000008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98.61</v>
      </c>
      <c r="T25" t="s">
        <v>30</v>
      </c>
      <c r="U25">
        <v>1.34</v>
      </c>
      <c r="V25" t="s">
        <v>47</v>
      </c>
      <c r="W25" t="s">
        <v>48</v>
      </c>
      <c r="X25">
        <v>196.33</v>
      </c>
    </row>
    <row r="26" spans="1:29" x14ac:dyDescent="0.35">
      <c r="A26" t="s">
        <v>24</v>
      </c>
      <c r="B26" t="s">
        <v>78</v>
      </c>
      <c r="C26">
        <v>4.16</v>
      </c>
      <c r="D26">
        <v>32</v>
      </c>
      <c r="E26">
        <v>209</v>
      </c>
      <c r="F26">
        <v>9049.08</v>
      </c>
      <c r="G26" t="s">
        <v>56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</v>
      </c>
      <c r="N26" t="s">
        <v>61</v>
      </c>
      <c r="O26" t="s">
        <v>54</v>
      </c>
      <c r="P26">
        <v>28</v>
      </c>
      <c r="Q26">
        <v>447</v>
      </c>
      <c r="R26">
        <v>3</v>
      </c>
      <c r="S26">
        <v>40.380000000000003</v>
      </c>
      <c r="T26" t="s">
        <v>30</v>
      </c>
      <c r="U26">
        <v>3.69</v>
      </c>
      <c r="V26" t="s">
        <v>40</v>
      </c>
      <c r="W26" t="s">
        <v>48</v>
      </c>
      <c r="X26">
        <v>758.72</v>
      </c>
    </row>
    <row r="27" spans="1:29" x14ac:dyDescent="0.35">
      <c r="A27" t="s">
        <v>24</v>
      </c>
      <c r="B27" t="s">
        <v>79</v>
      </c>
      <c r="C27">
        <v>39.630000000000003</v>
      </c>
      <c r="D27">
        <v>73</v>
      </c>
      <c r="E27">
        <v>142</v>
      </c>
      <c r="F27">
        <v>2174.7800000000002</v>
      </c>
      <c r="G27" t="s">
        <v>56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</v>
      </c>
      <c r="N27" t="s">
        <v>53</v>
      </c>
      <c r="O27" t="s">
        <v>45</v>
      </c>
      <c r="P27">
        <v>19</v>
      </c>
      <c r="Q27">
        <v>934</v>
      </c>
      <c r="R27">
        <v>23</v>
      </c>
      <c r="S27">
        <v>78.28</v>
      </c>
      <c r="T27" t="s">
        <v>30</v>
      </c>
      <c r="U27">
        <v>3.8</v>
      </c>
      <c r="V27" t="s">
        <v>31</v>
      </c>
      <c r="W27" t="s">
        <v>32</v>
      </c>
      <c r="X27">
        <v>458.54</v>
      </c>
    </row>
    <row r="28" spans="1:29" x14ac:dyDescent="0.35">
      <c r="A28" t="s">
        <v>24</v>
      </c>
      <c r="B28" t="s">
        <v>80</v>
      </c>
      <c r="C28">
        <v>97.45</v>
      </c>
      <c r="D28">
        <v>9</v>
      </c>
      <c r="E28">
        <v>353</v>
      </c>
      <c r="F28">
        <v>3716.49</v>
      </c>
      <c r="G28" t="s">
        <v>56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6.51</v>
      </c>
      <c r="N28" t="s">
        <v>61</v>
      </c>
      <c r="O28" t="s">
        <v>54</v>
      </c>
      <c r="P28">
        <v>26</v>
      </c>
      <c r="Q28">
        <v>171</v>
      </c>
      <c r="R28">
        <v>4</v>
      </c>
      <c r="S28">
        <v>15.97</v>
      </c>
      <c r="T28" t="s">
        <v>64</v>
      </c>
      <c r="U28">
        <v>2.12</v>
      </c>
      <c r="V28" t="s">
        <v>47</v>
      </c>
      <c r="W28" t="s">
        <v>48</v>
      </c>
      <c r="X28">
        <v>617.87</v>
      </c>
    </row>
    <row r="29" spans="1:29" x14ac:dyDescent="0.35">
      <c r="A29" t="s">
        <v>49</v>
      </c>
      <c r="B29" t="s">
        <v>81</v>
      </c>
      <c r="C29">
        <v>92.56</v>
      </c>
      <c r="D29">
        <v>42</v>
      </c>
      <c r="E29">
        <v>352</v>
      </c>
      <c r="F29">
        <v>2686.46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7.41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10.53</v>
      </c>
      <c r="T29" t="s">
        <v>46</v>
      </c>
      <c r="U29">
        <v>2.86</v>
      </c>
      <c r="V29" t="s">
        <v>57</v>
      </c>
      <c r="W29" t="s">
        <v>32</v>
      </c>
      <c r="X29">
        <v>762.46</v>
      </c>
    </row>
    <row r="30" spans="1:29" x14ac:dyDescent="0.35">
      <c r="A30" t="s">
        <v>49</v>
      </c>
      <c r="B30" t="s">
        <v>82</v>
      </c>
      <c r="C30">
        <v>2.4</v>
      </c>
      <c r="D30">
        <v>12</v>
      </c>
      <c r="E30">
        <v>394</v>
      </c>
      <c r="F30">
        <v>6117.32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9.9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59.43</v>
      </c>
      <c r="T30" t="s">
        <v>46</v>
      </c>
      <c r="U30">
        <v>0.82</v>
      </c>
      <c r="V30" t="s">
        <v>40</v>
      </c>
      <c r="W30" t="s">
        <v>48</v>
      </c>
      <c r="X30">
        <v>123.44</v>
      </c>
    </row>
    <row r="31" spans="1:29" x14ac:dyDescent="0.35">
      <c r="A31" t="s">
        <v>49</v>
      </c>
      <c r="B31" t="s">
        <v>83</v>
      </c>
      <c r="C31">
        <v>63.45</v>
      </c>
      <c r="D31">
        <v>3</v>
      </c>
      <c r="E31">
        <v>253</v>
      </c>
      <c r="F31">
        <v>8318.9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</v>
      </c>
      <c r="T31" t="s">
        <v>64</v>
      </c>
      <c r="U31">
        <v>3.88</v>
      </c>
      <c r="V31" t="s">
        <v>31</v>
      </c>
      <c r="W31" t="s">
        <v>32</v>
      </c>
      <c r="X31">
        <v>764.94</v>
      </c>
    </row>
    <row r="32" spans="1:29" x14ac:dyDescent="0.35">
      <c r="A32" t="s">
        <v>24</v>
      </c>
      <c r="B32" t="s">
        <v>84</v>
      </c>
      <c r="C32">
        <v>8.02</v>
      </c>
      <c r="D32">
        <v>10</v>
      </c>
      <c r="E32">
        <v>327</v>
      </c>
      <c r="F32">
        <v>2766.34</v>
      </c>
      <c r="G32" t="s">
        <v>56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8.9499999999999993</v>
      </c>
      <c r="N32" t="s">
        <v>53</v>
      </c>
      <c r="O32" t="s">
        <v>45</v>
      </c>
      <c r="P32">
        <v>27</v>
      </c>
      <c r="Q32">
        <v>806</v>
      </c>
      <c r="R32">
        <v>30</v>
      </c>
      <c r="S32">
        <v>51.63</v>
      </c>
      <c r="T32" t="s">
        <v>30</v>
      </c>
      <c r="U32">
        <v>0.97</v>
      </c>
      <c r="V32" t="s">
        <v>31</v>
      </c>
      <c r="W32" t="s">
        <v>41</v>
      </c>
      <c r="X32">
        <v>880.08</v>
      </c>
    </row>
    <row r="33" spans="1:24" x14ac:dyDescent="0.35">
      <c r="A33" t="s">
        <v>33</v>
      </c>
      <c r="B33" t="s">
        <v>85</v>
      </c>
      <c r="C33">
        <v>50.85</v>
      </c>
      <c r="D33">
        <v>28</v>
      </c>
      <c r="E33">
        <v>168</v>
      </c>
      <c r="F33">
        <v>9655.14</v>
      </c>
      <c r="G33" t="s">
        <v>56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</v>
      </c>
      <c r="T33" t="s">
        <v>30</v>
      </c>
      <c r="U33">
        <v>2.99</v>
      </c>
      <c r="V33" t="s">
        <v>47</v>
      </c>
      <c r="W33" t="s">
        <v>41</v>
      </c>
      <c r="X33">
        <v>609.38</v>
      </c>
    </row>
    <row r="34" spans="1:24" x14ac:dyDescent="0.35">
      <c r="A34" t="s">
        <v>33</v>
      </c>
      <c r="B34" t="s">
        <v>86</v>
      </c>
      <c r="C34">
        <v>79.209999999999994</v>
      </c>
      <c r="D34">
        <v>43</v>
      </c>
      <c r="E34">
        <v>781</v>
      </c>
      <c r="F34">
        <v>9571.5499999999993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6.6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</v>
      </c>
      <c r="T34" t="s">
        <v>64</v>
      </c>
      <c r="U34">
        <v>1.95</v>
      </c>
      <c r="V34" t="s">
        <v>31</v>
      </c>
      <c r="W34" t="s">
        <v>48</v>
      </c>
      <c r="X34">
        <v>761.17</v>
      </c>
    </row>
    <row r="35" spans="1:24" x14ac:dyDescent="0.35">
      <c r="A35" t="s">
        <v>49</v>
      </c>
      <c r="B35" t="s">
        <v>87</v>
      </c>
      <c r="C35">
        <v>64.8</v>
      </c>
      <c r="D35">
        <v>63</v>
      </c>
      <c r="E35">
        <v>616</v>
      </c>
      <c r="F35">
        <v>5150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4.8600000000000003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</v>
      </c>
      <c r="T35" t="s">
        <v>46</v>
      </c>
      <c r="U35">
        <v>3.54</v>
      </c>
      <c r="V35" t="s">
        <v>57</v>
      </c>
      <c r="W35" t="s">
        <v>48</v>
      </c>
      <c r="X35">
        <v>371.26</v>
      </c>
    </row>
    <row r="36" spans="1:24" x14ac:dyDescent="0.35">
      <c r="A36" t="s">
        <v>33</v>
      </c>
      <c r="B36" t="s">
        <v>88</v>
      </c>
      <c r="C36">
        <v>37.47</v>
      </c>
      <c r="D36">
        <v>96</v>
      </c>
      <c r="E36">
        <v>602</v>
      </c>
      <c r="F36">
        <v>9061.7099999999991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1.02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</v>
      </c>
      <c r="T36" t="s">
        <v>64</v>
      </c>
      <c r="U36">
        <v>0.65</v>
      </c>
      <c r="V36" t="s">
        <v>31</v>
      </c>
      <c r="W36" t="s">
        <v>32</v>
      </c>
      <c r="X36">
        <v>510.36</v>
      </c>
    </row>
    <row r="37" spans="1:24" x14ac:dyDescent="0.35">
      <c r="A37" t="s">
        <v>49</v>
      </c>
      <c r="B37" t="s">
        <v>89</v>
      </c>
      <c r="C37">
        <v>84.96</v>
      </c>
      <c r="D37">
        <v>11</v>
      </c>
      <c r="E37">
        <v>449</v>
      </c>
      <c r="F37">
        <v>6541.33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5.29</v>
      </c>
      <c r="N37" t="s">
        <v>39</v>
      </c>
      <c r="O37" t="s">
        <v>51</v>
      </c>
      <c r="P37">
        <v>3</v>
      </c>
      <c r="Q37">
        <v>367</v>
      </c>
      <c r="R37">
        <v>2</v>
      </c>
      <c r="S37">
        <v>58</v>
      </c>
      <c r="T37" t="s">
        <v>64</v>
      </c>
      <c r="U37">
        <v>0.54</v>
      </c>
      <c r="V37" t="s">
        <v>57</v>
      </c>
      <c r="W37" t="s">
        <v>41</v>
      </c>
      <c r="X37">
        <v>553.41999999999996</v>
      </c>
    </row>
    <row r="38" spans="1:24" x14ac:dyDescent="0.35">
      <c r="A38" t="s">
        <v>33</v>
      </c>
      <c r="B38" t="s">
        <v>90</v>
      </c>
      <c r="C38">
        <v>9.81</v>
      </c>
      <c r="D38">
        <v>34</v>
      </c>
      <c r="E38">
        <v>963</v>
      </c>
      <c r="F38">
        <v>7573.4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2.11</v>
      </c>
      <c r="N38" t="s">
        <v>61</v>
      </c>
      <c r="O38" t="s">
        <v>51</v>
      </c>
      <c r="P38">
        <v>26</v>
      </c>
      <c r="Q38">
        <v>671</v>
      </c>
      <c r="R38">
        <v>19</v>
      </c>
      <c r="S38">
        <v>45.53</v>
      </c>
      <c r="T38" t="s">
        <v>46</v>
      </c>
      <c r="U38">
        <v>3.81</v>
      </c>
      <c r="V38" t="s">
        <v>40</v>
      </c>
      <c r="W38" t="s">
        <v>41</v>
      </c>
      <c r="X38">
        <v>403.81</v>
      </c>
    </row>
    <row r="39" spans="1:24" x14ac:dyDescent="0.35">
      <c r="A39" t="s">
        <v>33</v>
      </c>
      <c r="B39" t="s">
        <v>91</v>
      </c>
      <c r="C39">
        <v>23.4</v>
      </c>
      <c r="D39">
        <v>5</v>
      </c>
      <c r="E39">
        <v>963</v>
      </c>
      <c r="F39">
        <v>2438.34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34.340000000000003</v>
      </c>
      <c r="T39" t="s">
        <v>30</v>
      </c>
      <c r="U39">
        <v>2.61</v>
      </c>
      <c r="V39" t="s">
        <v>57</v>
      </c>
      <c r="W39" t="s">
        <v>48</v>
      </c>
      <c r="X39">
        <v>183.93</v>
      </c>
    </row>
    <row r="40" spans="1:24" x14ac:dyDescent="0.35">
      <c r="A40" t="s">
        <v>49</v>
      </c>
      <c r="B40" t="s">
        <v>92</v>
      </c>
      <c r="C40">
        <v>52.08</v>
      </c>
      <c r="D40">
        <v>75</v>
      </c>
      <c r="E40">
        <v>705</v>
      </c>
      <c r="F40">
        <v>9692.32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9.24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</v>
      </c>
      <c r="T40" t="s">
        <v>30</v>
      </c>
      <c r="U40">
        <v>0.61</v>
      </c>
      <c r="V40" t="s">
        <v>40</v>
      </c>
      <c r="W40" t="s">
        <v>32</v>
      </c>
      <c r="X40">
        <v>339.67</v>
      </c>
    </row>
    <row r="41" spans="1:24" x14ac:dyDescent="0.35">
      <c r="A41" t="s">
        <v>33</v>
      </c>
      <c r="B41" t="s">
        <v>93</v>
      </c>
      <c r="C41">
        <v>19.13</v>
      </c>
      <c r="D41">
        <v>26</v>
      </c>
      <c r="E41">
        <v>176</v>
      </c>
      <c r="F41">
        <v>1912.47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9.01</v>
      </c>
      <c r="T41" t="s">
        <v>46</v>
      </c>
      <c r="U41">
        <v>1.45</v>
      </c>
      <c r="V41" t="s">
        <v>40</v>
      </c>
      <c r="W41" t="s">
        <v>32</v>
      </c>
      <c r="X41">
        <v>653.66999999999996</v>
      </c>
    </row>
    <row r="42" spans="1:24" x14ac:dyDescent="0.35">
      <c r="A42" t="s">
        <v>33</v>
      </c>
      <c r="B42" t="s">
        <v>94</v>
      </c>
      <c r="C42">
        <v>80.540000000000006</v>
      </c>
      <c r="D42">
        <v>97</v>
      </c>
      <c r="E42">
        <v>933</v>
      </c>
      <c r="F42">
        <v>5724.96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7.23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88.18</v>
      </c>
      <c r="T42" t="s">
        <v>30</v>
      </c>
      <c r="U42">
        <v>4.21</v>
      </c>
      <c r="V42" t="s">
        <v>31</v>
      </c>
      <c r="W42" t="s">
        <v>48</v>
      </c>
      <c r="X42">
        <v>529.80999999999995</v>
      </c>
    </row>
    <row r="43" spans="1:24" x14ac:dyDescent="0.35">
      <c r="A43" t="s">
        <v>33</v>
      </c>
      <c r="B43" t="s">
        <v>95</v>
      </c>
      <c r="C43">
        <v>99.11</v>
      </c>
      <c r="D43">
        <v>35</v>
      </c>
      <c r="E43">
        <v>556</v>
      </c>
      <c r="F43">
        <v>5521.21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</v>
      </c>
      <c r="N43" t="s">
        <v>53</v>
      </c>
      <c r="O43" t="s">
        <v>62</v>
      </c>
      <c r="P43">
        <v>18</v>
      </c>
      <c r="Q43">
        <v>892</v>
      </c>
      <c r="R43">
        <v>7</v>
      </c>
      <c r="S43">
        <v>95.33</v>
      </c>
      <c r="T43" t="s">
        <v>46</v>
      </c>
      <c r="U43">
        <v>0.05</v>
      </c>
      <c r="V43" t="s">
        <v>57</v>
      </c>
      <c r="W43" t="s">
        <v>48</v>
      </c>
      <c r="X43">
        <v>275.52</v>
      </c>
    </row>
    <row r="44" spans="1:24" x14ac:dyDescent="0.35">
      <c r="A44" t="s">
        <v>33</v>
      </c>
      <c r="B44" t="s">
        <v>96</v>
      </c>
      <c r="C44">
        <v>46.53</v>
      </c>
      <c r="D44">
        <v>98</v>
      </c>
      <c r="E44">
        <v>155</v>
      </c>
      <c r="F44">
        <v>1839.61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7.53</v>
      </c>
      <c r="N44" t="s">
        <v>44</v>
      </c>
      <c r="O44" t="s">
        <v>54</v>
      </c>
      <c r="P44">
        <v>26</v>
      </c>
      <c r="Q44">
        <v>179</v>
      </c>
      <c r="R44">
        <v>7</v>
      </c>
      <c r="S44">
        <v>96.42</v>
      </c>
      <c r="T44" t="s">
        <v>46</v>
      </c>
      <c r="U44">
        <v>4.9400000000000004</v>
      </c>
      <c r="V44" t="s">
        <v>31</v>
      </c>
      <c r="W44" t="s">
        <v>48</v>
      </c>
      <c r="X44">
        <v>635.66</v>
      </c>
    </row>
    <row r="45" spans="1:24" x14ac:dyDescent="0.35">
      <c r="A45" t="s">
        <v>24</v>
      </c>
      <c r="B45" t="s">
        <v>97</v>
      </c>
      <c r="C45">
        <v>11.74</v>
      </c>
      <c r="D45">
        <v>6</v>
      </c>
      <c r="E45">
        <v>598</v>
      </c>
      <c r="F45">
        <v>5737.43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26.28</v>
      </c>
      <c r="T45" t="s">
        <v>30</v>
      </c>
      <c r="U45">
        <v>0.37</v>
      </c>
      <c r="V45" t="s">
        <v>40</v>
      </c>
      <c r="W45" t="s">
        <v>48</v>
      </c>
      <c r="X45">
        <v>716.04</v>
      </c>
    </row>
    <row r="46" spans="1:24" x14ac:dyDescent="0.35">
      <c r="A46" t="s">
        <v>49</v>
      </c>
      <c r="B46" t="s">
        <v>98</v>
      </c>
      <c r="C46">
        <v>51.36</v>
      </c>
      <c r="D46">
        <v>34</v>
      </c>
      <c r="E46">
        <v>919</v>
      </c>
      <c r="F46">
        <v>7152.29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7.58</v>
      </c>
      <c r="N46" t="s">
        <v>61</v>
      </c>
      <c r="O46" t="s">
        <v>51</v>
      </c>
      <c r="P46">
        <v>7</v>
      </c>
      <c r="Q46">
        <v>834</v>
      </c>
      <c r="R46">
        <v>18</v>
      </c>
      <c r="S46">
        <v>22.55</v>
      </c>
      <c r="T46" t="s">
        <v>46</v>
      </c>
      <c r="U46">
        <v>2.96</v>
      </c>
      <c r="V46" t="s">
        <v>47</v>
      </c>
      <c r="W46" t="s">
        <v>48</v>
      </c>
      <c r="X46">
        <v>610.45000000000005</v>
      </c>
    </row>
    <row r="47" spans="1:24" x14ac:dyDescent="0.35">
      <c r="A47" t="s">
        <v>24</v>
      </c>
      <c r="B47" t="s">
        <v>99</v>
      </c>
      <c r="C47">
        <v>33.78</v>
      </c>
      <c r="D47">
        <v>1</v>
      </c>
      <c r="E47">
        <v>24</v>
      </c>
      <c r="F47">
        <v>5267.96</v>
      </c>
      <c r="G47" t="s">
        <v>56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5.22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</v>
      </c>
      <c r="T47" t="s">
        <v>64</v>
      </c>
      <c r="U47">
        <v>3.22</v>
      </c>
      <c r="V47" t="s">
        <v>47</v>
      </c>
      <c r="W47" t="s">
        <v>48</v>
      </c>
      <c r="X47">
        <v>495.31</v>
      </c>
    </row>
    <row r="48" spans="1:24" x14ac:dyDescent="0.35">
      <c r="A48" t="s">
        <v>24</v>
      </c>
      <c r="B48" t="s">
        <v>100</v>
      </c>
      <c r="C48">
        <v>27.08</v>
      </c>
      <c r="D48">
        <v>75</v>
      </c>
      <c r="E48">
        <v>859</v>
      </c>
      <c r="F48">
        <v>2556.77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77.319999999999993</v>
      </c>
      <c r="T48" t="s">
        <v>30</v>
      </c>
      <c r="U48">
        <v>3.65</v>
      </c>
      <c r="V48" t="s">
        <v>31</v>
      </c>
      <c r="W48" t="s">
        <v>32</v>
      </c>
      <c r="X48">
        <v>380.44</v>
      </c>
    </row>
    <row r="49" spans="1:24" x14ac:dyDescent="0.35">
      <c r="A49" t="s">
        <v>33</v>
      </c>
      <c r="B49" t="s">
        <v>101</v>
      </c>
      <c r="C49">
        <v>95.71</v>
      </c>
      <c r="D49">
        <v>93</v>
      </c>
      <c r="E49">
        <v>910</v>
      </c>
      <c r="F49">
        <v>7089.47</v>
      </c>
      <c r="G49" t="s">
        <v>56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8.98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</v>
      </c>
      <c r="T49" t="s">
        <v>30</v>
      </c>
      <c r="U49">
        <v>0.38</v>
      </c>
      <c r="V49" t="s">
        <v>47</v>
      </c>
      <c r="W49" t="s">
        <v>48</v>
      </c>
      <c r="X49">
        <v>581.6</v>
      </c>
    </row>
    <row r="50" spans="1:24" x14ac:dyDescent="0.35">
      <c r="A50" t="s">
        <v>24</v>
      </c>
      <c r="B50" t="s">
        <v>102</v>
      </c>
      <c r="C50">
        <v>76.040000000000006</v>
      </c>
      <c r="D50">
        <v>28</v>
      </c>
      <c r="E50">
        <v>29</v>
      </c>
      <c r="F50">
        <v>7397.07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7.1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23.13</v>
      </c>
      <c r="T50" t="s">
        <v>46</v>
      </c>
      <c r="U50">
        <v>1.7</v>
      </c>
      <c r="V50" t="s">
        <v>47</v>
      </c>
      <c r="W50" t="s">
        <v>32</v>
      </c>
      <c r="X50">
        <v>768.65</v>
      </c>
    </row>
    <row r="51" spans="1:24" x14ac:dyDescent="0.35">
      <c r="A51" t="s">
        <v>49</v>
      </c>
      <c r="B51" t="s">
        <v>103</v>
      </c>
      <c r="C51">
        <v>78.900000000000006</v>
      </c>
      <c r="D51">
        <v>19</v>
      </c>
      <c r="E51">
        <v>99</v>
      </c>
      <c r="F51">
        <v>8001.61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2.5099999999999998</v>
      </c>
      <c r="N51" t="s">
        <v>44</v>
      </c>
      <c r="O51" t="s">
        <v>51</v>
      </c>
      <c r="P51">
        <v>28</v>
      </c>
      <c r="Q51">
        <v>177</v>
      </c>
      <c r="R51">
        <v>28</v>
      </c>
      <c r="S51">
        <v>14.15</v>
      </c>
      <c r="T51" t="s">
        <v>64</v>
      </c>
      <c r="U51">
        <v>2.83</v>
      </c>
      <c r="V51" t="s">
        <v>47</v>
      </c>
      <c r="W51" t="s">
        <v>48</v>
      </c>
      <c r="X51">
        <v>336.89</v>
      </c>
    </row>
    <row r="52" spans="1:24" x14ac:dyDescent="0.35">
      <c r="A52" t="s">
        <v>49</v>
      </c>
      <c r="B52" t="s">
        <v>104</v>
      </c>
      <c r="C52">
        <v>14.2</v>
      </c>
      <c r="D52">
        <v>91</v>
      </c>
      <c r="E52">
        <v>633</v>
      </c>
      <c r="F52">
        <v>5910.89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6.25</v>
      </c>
      <c r="N52" t="s">
        <v>61</v>
      </c>
      <c r="O52" t="s">
        <v>51</v>
      </c>
      <c r="P52">
        <v>20</v>
      </c>
      <c r="Q52">
        <v>306</v>
      </c>
      <c r="R52">
        <v>21</v>
      </c>
      <c r="S52">
        <v>45.18</v>
      </c>
      <c r="T52" t="s">
        <v>46</v>
      </c>
      <c r="U52">
        <v>4.75</v>
      </c>
      <c r="V52" t="s">
        <v>47</v>
      </c>
      <c r="W52" t="s">
        <v>32</v>
      </c>
      <c r="X52">
        <v>496.25</v>
      </c>
    </row>
    <row r="53" spans="1:24" x14ac:dyDescent="0.35">
      <c r="A53" t="s">
        <v>24</v>
      </c>
      <c r="B53" t="s">
        <v>105</v>
      </c>
      <c r="C53">
        <v>26.7</v>
      </c>
      <c r="D53">
        <v>61</v>
      </c>
      <c r="E53">
        <v>154</v>
      </c>
      <c r="F53">
        <v>9866.4699999999993</v>
      </c>
      <c r="G53" t="s">
        <v>56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</v>
      </c>
      <c r="N53" t="s">
        <v>44</v>
      </c>
      <c r="O53" t="s">
        <v>54</v>
      </c>
      <c r="P53">
        <v>18</v>
      </c>
      <c r="Q53">
        <v>673</v>
      </c>
      <c r="R53">
        <v>28</v>
      </c>
      <c r="S53">
        <v>14.19</v>
      </c>
      <c r="T53" t="s">
        <v>30</v>
      </c>
      <c r="U53">
        <v>1.77</v>
      </c>
      <c r="V53" t="s">
        <v>31</v>
      </c>
      <c r="W53" t="s">
        <v>48</v>
      </c>
      <c r="X53">
        <v>694.98</v>
      </c>
    </row>
    <row r="54" spans="1:24" x14ac:dyDescent="0.35">
      <c r="A54" t="s">
        <v>33</v>
      </c>
      <c r="B54" t="s">
        <v>106</v>
      </c>
      <c r="C54">
        <v>98.03</v>
      </c>
      <c r="D54">
        <v>1</v>
      </c>
      <c r="E54">
        <v>820</v>
      </c>
      <c r="F54">
        <v>9435.76</v>
      </c>
      <c r="G54" t="s">
        <v>56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8.6300000000000008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9.17</v>
      </c>
      <c r="T54" t="s">
        <v>30</v>
      </c>
      <c r="U54">
        <v>2.12</v>
      </c>
      <c r="V54" t="s">
        <v>40</v>
      </c>
      <c r="W54" t="s">
        <v>41</v>
      </c>
      <c r="X54">
        <v>602.9</v>
      </c>
    </row>
    <row r="55" spans="1:24" x14ac:dyDescent="0.35">
      <c r="A55" t="s">
        <v>33</v>
      </c>
      <c r="B55" t="s">
        <v>107</v>
      </c>
      <c r="C55">
        <v>30.34</v>
      </c>
      <c r="D55">
        <v>93</v>
      </c>
      <c r="E55">
        <v>242</v>
      </c>
      <c r="F55">
        <v>8232.33</v>
      </c>
      <c r="G55" t="s">
        <v>56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</v>
      </c>
      <c r="N55" t="s">
        <v>39</v>
      </c>
      <c r="O55" t="s">
        <v>51</v>
      </c>
      <c r="P55">
        <v>1</v>
      </c>
      <c r="Q55">
        <v>631</v>
      </c>
      <c r="R55">
        <v>17</v>
      </c>
      <c r="S55">
        <v>83.34</v>
      </c>
      <c r="T55" t="s">
        <v>30</v>
      </c>
      <c r="U55">
        <v>1.41</v>
      </c>
      <c r="V55" t="s">
        <v>40</v>
      </c>
      <c r="W55" t="s">
        <v>32</v>
      </c>
      <c r="X55">
        <v>750.74</v>
      </c>
    </row>
    <row r="56" spans="1:24" x14ac:dyDescent="0.35">
      <c r="A56" t="s">
        <v>24</v>
      </c>
      <c r="B56" t="s">
        <v>108</v>
      </c>
      <c r="C56">
        <v>31.15</v>
      </c>
      <c r="D56">
        <v>11</v>
      </c>
      <c r="E56">
        <v>622</v>
      </c>
      <c r="F56">
        <v>6088.02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4.3099999999999996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30.19</v>
      </c>
      <c r="T56" t="s">
        <v>64</v>
      </c>
      <c r="U56">
        <v>2.48</v>
      </c>
      <c r="V56" t="s">
        <v>31</v>
      </c>
      <c r="W56" t="s">
        <v>32</v>
      </c>
      <c r="X56">
        <v>814.07</v>
      </c>
    </row>
    <row r="57" spans="1:24" x14ac:dyDescent="0.35">
      <c r="A57" t="s">
        <v>24</v>
      </c>
      <c r="B57" t="s">
        <v>109</v>
      </c>
      <c r="C57">
        <v>79.86</v>
      </c>
      <c r="D57">
        <v>16</v>
      </c>
      <c r="E57">
        <v>701</v>
      </c>
      <c r="F57">
        <v>2925.68</v>
      </c>
      <c r="G57" t="s">
        <v>56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</v>
      </c>
      <c r="N57" t="s">
        <v>61</v>
      </c>
      <c r="O57" t="s">
        <v>51</v>
      </c>
      <c r="P57">
        <v>27</v>
      </c>
      <c r="Q57">
        <v>918</v>
      </c>
      <c r="R57">
        <v>5</v>
      </c>
      <c r="S57">
        <v>30.32</v>
      </c>
      <c r="T57" t="s">
        <v>46</v>
      </c>
      <c r="U57">
        <v>4.55</v>
      </c>
      <c r="V57" t="s">
        <v>57</v>
      </c>
      <c r="W57" t="s">
        <v>32</v>
      </c>
      <c r="X57">
        <v>323.01</v>
      </c>
    </row>
    <row r="58" spans="1:24" x14ac:dyDescent="0.35">
      <c r="A58" t="s">
        <v>33</v>
      </c>
      <c r="B58" t="s">
        <v>110</v>
      </c>
      <c r="C58">
        <v>20.99</v>
      </c>
      <c r="D58">
        <v>90</v>
      </c>
      <c r="E58">
        <v>93</v>
      </c>
      <c r="F58">
        <v>4767.0200000000004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12.84</v>
      </c>
      <c r="T58" t="s">
        <v>64</v>
      </c>
      <c r="U58">
        <v>1.17</v>
      </c>
      <c r="V58" t="s">
        <v>40</v>
      </c>
      <c r="W58" t="s">
        <v>32</v>
      </c>
      <c r="X58">
        <v>832.21</v>
      </c>
    </row>
    <row r="59" spans="1:24" x14ac:dyDescent="0.35">
      <c r="A59" t="s">
        <v>24</v>
      </c>
      <c r="B59" t="s">
        <v>111</v>
      </c>
      <c r="C59">
        <v>49.26</v>
      </c>
      <c r="D59">
        <v>65</v>
      </c>
      <c r="E59">
        <v>227</v>
      </c>
      <c r="F59">
        <v>1605.87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</v>
      </c>
      <c r="N59" t="s">
        <v>61</v>
      </c>
      <c r="O59" t="s">
        <v>51</v>
      </c>
      <c r="P59">
        <v>21</v>
      </c>
      <c r="Q59">
        <v>588</v>
      </c>
      <c r="R59">
        <v>25</v>
      </c>
      <c r="S59">
        <v>67.78</v>
      </c>
      <c r="T59" t="s">
        <v>30</v>
      </c>
      <c r="U59">
        <v>2.5099999999999998</v>
      </c>
      <c r="V59" t="s">
        <v>47</v>
      </c>
      <c r="W59" t="s">
        <v>48</v>
      </c>
      <c r="X59">
        <v>482.19</v>
      </c>
    </row>
    <row r="60" spans="1:24" x14ac:dyDescent="0.35">
      <c r="A60" t="s">
        <v>33</v>
      </c>
      <c r="B60" t="s">
        <v>112</v>
      </c>
      <c r="C60">
        <v>59.84</v>
      </c>
      <c r="D60">
        <v>81</v>
      </c>
      <c r="E60">
        <v>896</v>
      </c>
      <c r="F60">
        <v>2021.15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4.9400000000000004</v>
      </c>
      <c r="N60" t="s">
        <v>28</v>
      </c>
      <c r="O60" t="s">
        <v>51</v>
      </c>
      <c r="P60">
        <v>18</v>
      </c>
      <c r="Q60">
        <v>396</v>
      </c>
      <c r="R60">
        <v>7</v>
      </c>
      <c r="S60">
        <v>65.05</v>
      </c>
      <c r="T60" t="s">
        <v>46</v>
      </c>
      <c r="U60">
        <v>1.73</v>
      </c>
      <c r="V60" t="s">
        <v>31</v>
      </c>
      <c r="W60" t="s">
        <v>32</v>
      </c>
      <c r="X60">
        <v>110.36</v>
      </c>
    </row>
    <row r="61" spans="1:24" x14ac:dyDescent="0.35">
      <c r="A61" t="s">
        <v>49</v>
      </c>
      <c r="B61" t="s">
        <v>113</v>
      </c>
      <c r="C61">
        <v>63.83</v>
      </c>
      <c r="D61">
        <v>30</v>
      </c>
      <c r="E61">
        <v>484</v>
      </c>
      <c r="F61">
        <v>1061.6199999999999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</v>
      </c>
      <c r="T61" t="s">
        <v>46</v>
      </c>
      <c r="U61">
        <v>0.45</v>
      </c>
      <c r="V61" t="s">
        <v>40</v>
      </c>
      <c r="W61" t="s">
        <v>48</v>
      </c>
      <c r="X61">
        <v>312.57</v>
      </c>
    </row>
    <row r="62" spans="1:24" x14ac:dyDescent="0.35">
      <c r="A62" t="s">
        <v>33</v>
      </c>
      <c r="B62" t="s">
        <v>114</v>
      </c>
      <c r="C62">
        <v>17.03</v>
      </c>
      <c r="D62">
        <v>16</v>
      </c>
      <c r="E62">
        <v>380</v>
      </c>
      <c r="F62">
        <v>8864.08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</v>
      </c>
      <c r="N62" t="s">
        <v>53</v>
      </c>
      <c r="O62" t="s">
        <v>29</v>
      </c>
      <c r="P62">
        <v>29</v>
      </c>
      <c r="Q62">
        <v>929</v>
      </c>
      <c r="R62">
        <v>24</v>
      </c>
      <c r="S62">
        <v>87.21</v>
      </c>
      <c r="T62" t="s">
        <v>46</v>
      </c>
      <c r="U62">
        <v>2.85</v>
      </c>
      <c r="V62" t="s">
        <v>47</v>
      </c>
      <c r="W62" t="s">
        <v>48</v>
      </c>
      <c r="X62">
        <v>430.17</v>
      </c>
    </row>
    <row r="63" spans="1:24" x14ac:dyDescent="0.35">
      <c r="A63" t="s">
        <v>24</v>
      </c>
      <c r="B63" t="s">
        <v>115</v>
      </c>
      <c r="C63">
        <v>52.03</v>
      </c>
      <c r="D63">
        <v>23</v>
      </c>
      <c r="E63">
        <v>117</v>
      </c>
      <c r="F63">
        <v>6885.59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9.0299999999999994</v>
      </c>
      <c r="N63" t="s">
        <v>53</v>
      </c>
      <c r="O63" t="s">
        <v>45</v>
      </c>
      <c r="P63">
        <v>14</v>
      </c>
      <c r="Q63">
        <v>480</v>
      </c>
      <c r="R63">
        <v>12</v>
      </c>
      <c r="S63">
        <v>78.7</v>
      </c>
      <c r="T63" t="s">
        <v>46</v>
      </c>
      <c r="U63">
        <v>4.37</v>
      </c>
      <c r="V63" t="s">
        <v>40</v>
      </c>
      <c r="W63" t="s">
        <v>48</v>
      </c>
      <c r="X63">
        <v>164.37</v>
      </c>
    </row>
    <row r="64" spans="1:24" x14ac:dyDescent="0.35">
      <c r="A64" t="s">
        <v>49</v>
      </c>
      <c r="B64" t="s">
        <v>116</v>
      </c>
      <c r="C64">
        <v>72.8</v>
      </c>
      <c r="D64">
        <v>89</v>
      </c>
      <c r="E64">
        <v>270</v>
      </c>
      <c r="F64">
        <v>3899.75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21.05</v>
      </c>
      <c r="T64" t="s">
        <v>64</v>
      </c>
      <c r="U64">
        <v>1.87</v>
      </c>
      <c r="V64" t="s">
        <v>57</v>
      </c>
      <c r="W64" t="s">
        <v>41</v>
      </c>
      <c r="X64">
        <v>320.85000000000002</v>
      </c>
    </row>
    <row r="65" spans="1:24" x14ac:dyDescent="0.35">
      <c r="A65" t="s">
        <v>33</v>
      </c>
      <c r="B65" t="s">
        <v>117</v>
      </c>
      <c r="C65">
        <v>13.02</v>
      </c>
      <c r="D65">
        <v>55</v>
      </c>
      <c r="E65">
        <v>246</v>
      </c>
      <c r="F65">
        <v>4256.95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2.46</v>
      </c>
      <c r="N65" t="s">
        <v>28</v>
      </c>
      <c r="O65" t="s">
        <v>54</v>
      </c>
      <c r="P65">
        <v>18</v>
      </c>
      <c r="Q65">
        <v>736</v>
      </c>
      <c r="R65">
        <v>10</v>
      </c>
      <c r="S65">
        <v>20.079999999999998</v>
      </c>
      <c r="T65" t="s">
        <v>30</v>
      </c>
      <c r="U65">
        <v>3.63</v>
      </c>
      <c r="V65" t="s">
        <v>57</v>
      </c>
      <c r="W65" t="s">
        <v>48</v>
      </c>
      <c r="X65">
        <v>687.29</v>
      </c>
    </row>
    <row r="66" spans="1:24" x14ac:dyDescent="0.35">
      <c r="A66" t="s">
        <v>33</v>
      </c>
      <c r="B66" t="s">
        <v>118</v>
      </c>
      <c r="C66">
        <v>89.63</v>
      </c>
      <c r="D66">
        <v>11</v>
      </c>
      <c r="E66">
        <v>134</v>
      </c>
      <c r="F66">
        <v>8458.73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4.59</v>
      </c>
      <c r="N66" t="s">
        <v>39</v>
      </c>
      <c r="O66" t="s">
        <v>51</v>
      </c>
      <c r="P66">
        <v>17</v>
      </c>
      <c r="Q66">
        <v>328</v>
      </c>
      <c r="R66">
        <v>6</v>
      </c>
      <c r="S66">
        <v>8.69</v>
      </c>
      <c r="T66" t="s">
        <v>46</v>
      </c>
      <c r="U66">
        <v>0.16</v>
      </c>
      <c r="V66" t="s">
        <v>40</v>
      </c>
      <c r="W66" t="s">
        <v>41</v>
      </c>
      <c r="X66">
        <v>771.23</v>
      </c>
    </row>
    <row r="67" spans="1:24" x14ac:dyDescent="0.35">
      <c r="A67" t="s">
        <v>33</v>
      </c>
      <c r="B67" t="s">
        <v>119</v>
      </c>
      <c r="C67">
        <v>33.700000000000003</v>
      </c>
      <c r="D67">
        <v>72</v>
      </c>
      <c r="E67">
        <v>457</v>
      </c>
      <c r="F67">
        <v>8354.58</v>
      </c>
      <c r="G67" t="s">
        <v>56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1.6</v>
      </c>
      <c r="T67" t="s">
        <v>46</v>
      </c>
      <c r="U67">
        <v>4.91</v>
      </c>
      <c r="V67" t="s">
        <v>47</v>
      </c>
      <c r="W67" t="s">
        <v>41</v>
      </c>
      <c r="X67">
        <v>555.86</v>
      </c>
    </row>
    <row r="68" spans="1:24" x14ac:dyDescent="0.35">
      <c r="A68" t="s">
        <v>33</v>
      </c>
      <c r="B68" t="s">
        <v>120</v>
      </c>
      <c r="C68">
        <v>26.03</v>
      </c>
      <c r="D68">
        <v>52</v>
      </c>
      <c r="E68">
        <v>704</v>
      </c>
      <c r="F68">
        <v>8367.7199999999993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2.2200000000000002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</v>
      </c>
      <c r="T68" t="s">
        <v>46</v>
      </c>
      <c r="U68">
        <v>3.45</v>
      </c>
      <c r="V68" t="s">
        <v>31</v>
      </c>
      <c r="W68" t="s">
        <v>48</v>
      </c>
      <c r="X68">
        <v>393.84</v>
      </c>
    </row>
    <row r="69" spans="1:24" x14ac:dyDescent="0.35">
      <c r="A69" t="s">
        <v>33</v>
      </c>
      <c r="B69" t="s">
        <v>121</v>
      </c>
      <c r="C69">
        <v>87.76</v>
      </c>
      <c r="D69">
        <v>16</v>
      </c>
      <c r="E69">
        <v>513</v>
      </c>
      <c r="F69">
        <v>9473.7999999999993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9.15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7.06</v>
      </c>
      <c r="T69" t="s">
        <v>64</v>
      </c>
      <c r="U69">
        <v>0.13</v>
      </c>
      <c r="V69" t="s">
        <v>57</v>
      </c>
      <c r="W69" t="s">
        <v>41</v>
      </c>
      <c r="X69">
        <v>169.27</v>
      </c>
    </row>
    <row r="70" spans="1:24" x14ac:dyDescent="0.35">
      <c r="A70" t="s">
        <v>24</v>
      </c>
      <c r="B70" t="s">
        <v>122</v>
      </c>
      <c r="C70">
        <v>37.93</v>
      </c>
      <c r="D70">
        <v>29</v>
      </c>
      <c r="E70">
        <v>163</v>
      </c>
      <c r="F70">
        <v>3550.22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</v>
      </c>
      <c r="N70" t="s">
        <v>61</v>
      </c>
      <c r="O70" t="s">
        <v>54</v>
      </c>
      <c r="P70">
        <v>2</v>
      </c>
      <c r="Q70">
        <v>375</v>
      </c>
      <c r="R70">
        <v>18</v>
      </c>
      <c r="S70">
        <v>97.11</v>
      </c>
      <c r="T70" t="s">
        <v>46</v>
      </c>
      <c r="U70">
        <v>1.98</v>
      </c>
      <c r="V70" t="s">
        <v>47</v>
      </c>
      <c r="W70" t="s">
        <v>48</v>
      </c>
      <c r="X70">
        <v>299.70999999999998</v>
      </c>
    </row>
    <row r="71" spans="1:24" x14ac:dyDescent="0.35">
      <c r="A71" t="s">
        <v>33</v>
      </c>
      <c r="B71" t="s">
        <v>123</v>
      </c>
      <c r="C71">
        <v>54.87</v>
      </c>
      <c r="D71">
        <v>62</v>
      </c>
      <c r="E71">
        <v>511</v>
      </c>
      <c r="F71">
        <v>1752.38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9.7100000000000009</v>
      </c>
      <c r="N71" t="s">
        <v>53</v>
      </c>
      <c r="O71" t="s">
        <v>45</v>
      </c>
      <c r="P71">
        <v>9</v>
      </c>
      <c r="Q71">
        <v>862</v>
      </c>
      <c r="R71">
        <v>7</v>
      </c>
      <c r="S71">
        <v>77.63</v>
      </c>
      <c r="T71" t="s">
        <v>30</v>
      </c>
      <c r="U71">
        <v>1.36</v>
      </c>
      <c r="V71" t="s">
        <v>40</v>
      </c>
      <c r="W71" t="s">
        <v>48</v>
      </c>
      <c r="X71">
        <v>207.66</v>
      </c>
    </row>
    <row r="72" spans="1:24" x14ac:dyDescent="0.35">
      <c r="A72" t="s">
        <v>24</v>
      </c>
      <c r="B72" t="s">
        <v>124</v>
      </c>
      <c r="C72">
        <v>47.91</v>
      </c>
      <c r="D72">
        <v>90</v>
      </c>
      <c r="E72">
        <v>32</v>
      </c>
      <c r="F72">
        <v>7014.89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6.32</v>
      </c>
      <c r="N72" t="s">
        <v>39</v>
      </c>
      <c r="O72" t="s">
        <v>54</v>
      </c>
      <c r="P72">
        <v>22</v>
      </c>
      <c r="Q72">
        <v>775</v>
      </c>
      <c r="R72">
        <v>16</v>
      </c>
      <c r="S72">
        <v>11.44</v>
      </c>
      <c r="T72" t="s">
        <v>64</v>
      </c>
      <c r="U72">
        <v>1.83</v>
      </c>
      <c r="V72" t="s">
        <v>31</v>
      </c>
      <c r="W72" t="s">
        <v>41</v>
      </c>
      <c r="X72">
        <v>183.27</v>
      </c>
    </row>
    <row r="73" spans="1:24" x14ac:dyDescent="0.35">
      <c r="A73" t="s">
        <v>49</v>
      </c>
      <c r="B73" t="s">
        <v>125</v>
      </c>
      <c r="C73">
        <v>6.38</v>
      </c>
      <c r="D73">
        <v>14</v>
      </c>
      <c r="E73">
        <v>637</v>
      </c>
      <c r="F73">
        <v>8180.34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9.23</v>
      </c>
      <c r="N73" t="s">
        <v>61</v>
      </c>
      <c r="O73" t="s">
        <v>54</v>
      </c>
      <c r="P73">
        <v>2</v>
      </c>
      <c r="Q73">
        <v>258</v>
      </c>
      <c r="R73">
        <v>10</v>
      </c>
      <c r="S73">
        <v>30.66</v>
      </c>
      <c r="T73" t="s">
        <v>30</v>
      </c>
      <c r="U73">
        <v>2.08</v>
      </c>
      <c r="V73" t="s">
        <v>31</v>
      </c>
      <c r="W73" t="s">
        <v>48</v>
      </c>
      <c r="X73">
        <v>405.17</v>
      </c>
    </row>
    <row r="74" spans="1:24" x14ac:dyDescent="0.35">
      <c r="A74" t="s">
        <v>49</v>
      </c>
      <c r="B74" t="s">
        <v>126</v>
      </c>
      <c r="C74">
        <v>90.2</v>
      </c>
      <c r="D74">
        <v>88</v>
      </c>
      <c r="E74">
        <v>478</v>
      </c>
      <c r="F74">
        <v>2633.12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6.6</v>
      </c>
      <c r="N74" t="s">
        <v>39</v>
      </c>
      <c r="O74" t="s">
        <v>54</v>
      </c>
      <c r="P74">
        <v>21</v>
      </c>
      <c r="Q74">
        <v>152</v>
      </c>
      <c r="R74">
        <v>11</v>
      </c>
      <c r="S74">
        <v>55.76</v>
      </c>
      <c r="T74" t="s">
        <v>30</v>
      </c>
      <c r="U74">
        <v>3.21</v>
      </c>
      <c r="V74" t="s">
        <v>47</v>
      </c>
      <c r="W74" t="s">
        <v>32</v>
      </c>
      <c r="X74">
        <v>677.94</v>
      </c>
    </row>
    <row r="75" spans="1:24" x14ac:dyDescent="0.35">
      <c r="A75" t="s">
        <v>49</v>
      </c>
      <c r="B75" t="s">
        <v>127</v>
      </c>
      <c r="C75">
        <v>83.85</v>
      </c>
      <c r="D75">
        <v>41</v>
      </c>
      <c r="E75">
        <v>375</v>
      </c>
      <c r="F75">
        <v>7910.89</v>
      </c>
      <c r="G75" t="s">
        <v>56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</v>
      </c>
      <c r="N75" t="s">
        <v>53</v>
      </c>
      <c r="O75" t="s">
        <v>62</v>
      </c>
      <c r="P75">
        <v>13</v>
      </c>
      <c r="Q75">
        <v>444</v>
      </c>
      <c r="R75">
        <v>4</v>
      </c>
      <c r="S75">
        <v>46.87</v>
      </c>
      <c r="T75" t="s">
        <v>46</v>
      </c>
      <c r="U75">
        <v>4.62</v>
      </c>
      <c r="V75" t="s">
        <v>31</v>
      </c>
      <c r="W75" t="s">
        <v>48</v>
      </c>
      <c r="X75">
        <v>866.47</v>
      </c>
    </row>
    <row r="76" spans="1:24" x14ac:dyDescent="0.35">
      <c r="A76" t="s">
        <v>24</v>
      </c>
      <c r="B76" t="s">
        <v>128</v>
      </c>
      <c r="C76">
        <v>3.17</v>
      </c>
      <c r="D76">
        <v>64</v>
      </c>
      <c r="E76">
        <v>904</v>
      </c>
      <c r="F76">
        <v>5709.95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5.24</v>
      </c>
      <c r="N76" t="s">
        <v>53</v>
      </c>
      <c r="O76" t="s">
        <v>51</v>
      </c>
      <c r="P76">
        <v>1</v>
      </c>
      <c r="Q76">
        <v>919</v>
      </c>
      <c r="R76">
        <v>9</v>
      </c>
      <c r="S76">
        <v>80.58</v>
      </c>
      <c r="T76" t="s">
        <v>46</v>
      </c>
      <c r="U76">
        <v>0.4</v>
      </c>
      <c r="V76" t="s">
        <v>47</v>
      </c>
      <c r="W76" t="s">
        <v>48</v>
      </c>
      <c r="X76">
        <v>341.55</v>
      </c>
    </row>
    <row r="77" spans="1:24" x14ac:dyDescent="0.35">
      <c r="A77" t="s">
        <v>33</v>
      </c>
      <c r="B77" t="s">
        <v>129</v>
      </c>
      <c r="C77">
        <v>93</v>
      </c>
      <c r="D77">
        <v>29</v>
      </c>
      <c r="E77">
        <v>106</v>
      </c>
      <c r="F77">
        <v>1889.07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2.4700000000000002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</v>
      </c>
      <c r="T77" t="s">
        <v>64</v>
      </c>
      <c r="U77">
        <v>2.0299999999999998</v>
      </c>
      <c r="V77" t="s">
        <v>40</v>
      </c>
      <c r="W77" t="s">
        <v>41</v>
      </c>
      <c r="X77">
        <v>873.13</v>
      </c>
    </row>
    <row r="78" spans="1:24" x14ac:dyDescent="0.35">
      <c r="A78" t="s">
        <v>24</v>
      </c>
      <c r="B78" t="s">
        <v>130</v>
      </c>
      <c r="C78">
        <v>69.11</v>
      </c>
      <c r="D78">
        <v>23</v>
      </c>
      <c r="E78">
        <v>241</v>
      </c>
      <c r="F78">
        <v>5328.38</v>
      </c>
      <c r="G78" t="s">
        <v>56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</v>
      </c>
      <c r="N78" t="s">
        <v>61</v>
      </c>
      <c r="O78" t="s">
        <v>54</v>
      </c>
      <c r="P78">
        <v>25</v>
      </c>
      <c r="Q78">
        <v>985</v>
      </c>
      <c r="R78">
        <v>24</v>
      </c>
      <c r="S78">
        <v>64.319999999999993</v>
      </c>
      <c r="T78" t="s">
        <v>30</v>
      </c>
      <c r="U78">
        <v>2.1800000000000002</v>
      </c>
      <c r="V78" t="s">
        <v>47</v>
      </c>
      <c r="W78" t="s">
        <v>48</v>
      </c>
      <c r="X78">
        <v>997.41</v>
      </c>
    </row>
    <row r="79" spans="1:24" x14ac:dyDescent="0.35">
      <c r="A79" t="s">
        <v>24</v>
      </c>
      <c r="B79" t="s">
        <v>131</v>
      </c>
      <c r="C79">
        <v>57.45</v>
      </c>
      <c r="D79">
        <v>14</v>
      </c>
      <c r="E79">
        <v>359</v>
      </c>
      <c r="F79">
        <v>2483.7600000000002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</v>
      </c>
      <c r="T79" t="s">
        <v>64</v>
      </c>
      <c r="U79">
        <v>3.06</v>
      </c>
      <c r="V79" t="s">
        <v>31</v>
      </c>
      <c r="W79" t="s">
        <v>32</v>
      </c>
      <c r="X79">
        <v>852.57</v>
      </c>
    </row>
    <row r="80" spans="1:24" x14ac:dyDescent="0.35">
      <c r="A80" t="s">
        <v>24</v>
      </c>
      <c r="B80" t="s">
        <v>132</v>
      </c>
      <c r="C80">
        <v>6.31</v>
      </c>
      <c r="D80">
        <v>50</v>
      </c>
      <c r="E80">
        <v>946</v>
      </c>
      <c r="F80">
        <v>1292.46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8.4700000000000006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71.13</v>
      </c>
      <c r="T80" t="s">
        <v>30</v>
      </c>
      <c r="U80">
        <v>4.0999999999999996</v>
      </c>
      <c r="V80" t="s">
        <v>57</v>
      </c>
      <c r="W80" t="s">
        <v>41</v>
      </c>
      <c r="X80">
        <v>323.58999999999997</v>
      </c>
    </row>
    <row r="81" spans="1:24" x14ac:dyDescent="0.35">
      <c r="A81" t="s">
        <v>24</v>
      </c>
      <c r="B81" t="s">
        <v>133</v>
      </c>
      <c r="C81">
        <v>57.06</v>
      </c>
      <c r="D81">
        <v>56</v>
      </c>
      <c r="E81">
        <v>198</v>
      </c>
      <c r="F81">
        <v>7888.72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6.5</v>
      </c>
      <c r="N81" t="s">
        <v>28</v>
      </c>
      <c r="O81" t="s">
        <v>54</v>
      </c>
      <c r="P81">
        <v>5</v>
      </c>
      <c r="Q81">
        <v>228</v>
      </c>
      <c r="R81">
        <v>12</v>
      </c>
      <c r="S81">
        <v>57.87</v>
      </c>
      <c r="T81" t="s">
        <v>30</v>
      </c>
      <c r="U81">
        <v>0.17</v>
      </c>
      <c r="V81" t="s">
        <v>40</v>
      </c>
      <c r="W81" t="s">
        <v>41</v>
      </c>
      <c r="X81">
        <v>351.5</v>
      </c>
    </row>
    <row r="82" spans="1:24" x14ac:dyDescent="0.35">
      <c r="A82" t="s">
        <v>33</v>
      </c>
      <c r="B82" t="s">
        <v>134</v>
      </c>
      <c r="C82">
        <v>91.13</v>
      </c>
      <c r="D82">
        <v>75</v>
      </c>
      <c r="E82">
        <v>872</v>
      </c>
      <c r="F82">
        <v>8651.67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76.959999999999994</v>
      </c>
      <c r="T82" t="s">
        <v>46</v>
      </c>
      <c r="U82">
        <v>2.85</v>
      </c>
      <c r="V82" t="s">
        <v>57</v>
      </c>
      <c r="W82" t="s">
        <v>32</v>
      </c>
      <c r="X82">
        <v>787.78</v>
      </c>
    </row>
    <row r="83" spans="1:24" x14ac:dyDescent="0.35">
      <c r="A83" t="s">
        <v>24</v>
      </c>
      <c r="B83" t="s">
        <v>135</v>
      </c>
      <c r="C83">
        <v>72.819999999999993</v>
      </c>
      <c r="D83">
        <v>9</v>
      </c>
      <c r="E83">
        <v>774</v>
      </c>
      <c r="F83">
        <v>4384.41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4.07</v>
      </c>
      <c r="N83" t="s">
        <v>28</v>
      </c>
      <c r="O83" t="s">
        <v>51</v>
      </c>
      <c r="P83">
        <v>28</v>
      </c>
      <c r="Q83">
        <v>698</v>
      </c>
      <c r="R83">
        <v>1</v>
      </c>
      <c r="S83">
        <v>19.79</v>
      </c>
      <c r="T83" t="s">
        <v>30</v>
      </c>
      <c r="U83">
        <v>2.5499999999999998</v>
      </c>
      <c r="V83" t="s">
        <v>47</v>
      </c>
      <c r="W83" t="s">
        <v>32</v>
      </c>
      <c r="X83">
        <v>276.77999999999997</v>
      </c>
    </row>
    <row r="84" spans="1:24" x14ac:dyDescent="0.35">
      <c r="A84" t="s">
        <v>33</v>
      </c>
      <c r="B84" t="s">
        <v>136</v>
      </c>
      <c r="C84">
        <v>17.03</v>
      </c>
      <c r="D84">
        <v>13</v>
      </c>
      <c r="E84">
        <v>336</v>
      </c>
      <c r="F84">
        <v>2943.38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4.47</v>
      </c>
      <c r="T84" t="s">
        <v>30</v>
      </c>
      <c r="U84">
        <v>4.1399999999999997</v>
      </c>
      <c r="V84" t="s">
        <v>31</v>
      </c>
      <c r="W84" t="s">
        <v>41</v>
      </c>
      <c r="X84">
        <v>589.98</v>
      </c>
    </row>
    <row r="85" spans="1:24" x14ac:dyDescent="0.35">
      <c r="A85" t="s">
        <v>24</v>
      </c>
      <c r="B85" t="s">
        <v>137</v>
      </c>
      <c r="C85">
        <v>68.91</v>
      </c>
      <c r="D85">
        <v>82</v>
      </c>
      <c r="E85">
        <v>663</v>
      </c>
      <c r="F85">
        <v>2411.75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4.95</v>
      </c>
      <c r="N85" t="s">
        <v>39</v>
      </c>
      <c r="O85" t="s">
        <v>54</v>
      </c>
      <c r="P85">
        <v>20</v>
      </c>
      <c r="Q85">
        <v>443</v>
      </c>
      <c r="R85">
        <v>5</v>
      </c>
      <c r="S85">
        <v>97.73</v>
      </c>
      <c r="T85" t="s">
        <v>46</v>
      </c>
      <c r="U85">
        <v>0.77</v>
      </c>
      <c r="V85" t="s">
        <v>31</v>
      </c>
      <c r="W85" t="s">
        <v>48</v>
      </c>
      <c r="X85">
        <v>682.97</v>
      </c>
    </row>
    <row r="86" spans="1:24" x14ac:dyDescent="0.35">
      <c r="A86" t="s">
        <v>24</v>
      </c>
      <c r="B86" t="s">
        <v>138</v>
      </c>
      <c r="C86">
        <v>89.1</v>
      </c>
      <c r="D86">
        <v>99</v>
      </c>
      <c r="E86">
        <v>618</v>
      </c>
      <c r="F86">
        <v>2048.29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8.3800000000000008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33.81</v>
      </c>
      <c r="T86" t="s">
        <v>64</v>
      </c>
      <c r="U86">
        <v>4.84</v>
      </c>
      <c r="V86" t="s">
        <v>40</v>
      </c>
      <c r="W86" t="s">
        <v>32</v>
      </c>
      <c r="X86">
        <v>465.46</v>
      </c>
    </row>
    <row r="87" spans="1:24" x14ac:dyDescent="0.35">
      <c r="A87" t="s">
        <v>49</v>
      </c>
      <c r="B87" t="s">
        <v>139</v>
      </c>
      <c r="C87">
        <v>76.959999999999994</v>
      </c>
      <c r="D87">
        <v>83</v>
      </c>
      <c r="E87">
        <v>25</v>
      </c>
      <c r="F87">
        <v>8684.61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8.25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69.930000000000007</v>
      </c>
      <c r="T87" t="s">
        <v>46</v>
      </c>
      <c r="U87">
        <v>1.37</v>
      </c>
      <c r="V87" t="s">
        <v>31</v>
      </c>
      <c r="W87" t="s">
        <v>32</v>
      </c>
      <c r="X87">
        <v>842.69</v>
      </c>
    </row>
    <row r="88" spans="1:24" x14ac:dyDescent="0.35">
      <c r="A88" t="s">
        <v>33</v>
      </c>
      <c r="B88" t="s">
        <v>140</v>
      </c>
      <c r="C88">
        <v>20</v>
      </c>
      <c r="D88">
        <v>18</v>
      </c>
      <c r="E88">
        <v>223</v>
      </c>
      <c r="F88">
        <v>1229.5899999999999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74.61</v>
      </c>
      <c r="T88" t="s">
        <v>64</v>
      </c>
      <c r="U88">
        <v>2.0499999999999998</v>
      </c>
      <c r="V88" t="s">
        <v>47</v>
      </c>
      <c r="W88" t="s">
        <v>48</v>
      </c>
      <c r="X88">
        <v>264.25</v>
      </c>
    </row>
    <row r="89" spans="1:24" x14ac:dyDescent="0.35">
      <c r="A89" t="s">
        <v>24</v>
      </c>
      <c r="B89" t="s">
        <v>141</v>
      </c>
      <c r="C89">
        <v>80.41</v>
      </c>
      <c r="D89">
        <v>24</v>
      </c>
      <c r="E89">
        <v>79</v>
      </c>
      <c r="F89">
        <v>5133.8500000000004</v>
      </c>
      <c r="G89" t="s">
        <v>56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6.58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28.7</v>
      </c>
      <c r="T89" t="s">
        <v>46</v>
      </c>
      <c r="U89">
        <v>3.69</v>
      </c>
      <c r="V89" t="s">
        <v>57</v>
      </c>
      <c r="W89" t="s">
        <v>32</v>
      </c>
      <c r="X89">
        <v>879.36</v>
      </c>
    </row>
    <row r="90" spans="1:24" x14ac:dyDescent="0.35">
      <c r="A90" t="s">
        <v>49</v>
      </c>
      <c r="B90" t="s">
        <v>142</v>
      </c>
      <c r="C90">
        <v>75.27</v>
      </c>
      <c r="D90">
        <v>58</v>
      </c>
      <c r="E90">
        <v>737</v>
      </c>
      <c r="F90">
        <v>9444.74</v>
      </c>
      <c r="G90" t="s">
        <v>56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68.180000000000007</v>
      </c>
      <c r="T90" t="s">
        <v>30</v>
      </c>
      <c r="U90">
        <v>0.72</v>
      </c>
      <c r="V90" t="s">
        <v>57</v>
      </c>
      <c r="W90" t="s">
        <v>48</v>
      </c>
      <c r="X90">
        <v>103.92</v>
      </c>
    </row>
    <row r="91" spans="1:24" x14ac:dyDescent="0.35">
      <c r="A91" t="s">
        <v>49</v>
      </c>
      <c r="B91" t="s">
        <v>143</v>
      </c>
      <c r="C91">
        <v>97.76</v>
      </c>
      <c r="D91">
        <v>10</v>
      </c>
      <c r="E91">
        <v>134</v>
      </c>
      <c r="F91">
        <v>5924.68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9.93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</v>
      </c>
      <c r="T91" t="s">
        <v>30</v>
      </c>
      <c r="U91">
        <v>1.91</v>
      </c>
      <c r="V91" t="s">
        <v>47</v>
      </c>
      <c r="W91" t="s">
        <v>32</v>
      </c>
      <c r="X91">
        <v>517.5</v>
      </c>
    </row>
    <row r="92" spans="1:24" x14ac:dyDescent="0.35">
      <c r="A92" t="s">
        <v>33</v>
      </c>
      <c r="B92" t="s">
        <v>144</v>
      </c>
      <c r="C92">
        <v>13.88</v>
      </c>
      <c r="D92">
        <v>56</v>
      </c>
      <c r="E92">
        <v>320</v>
      </c>
      <c r="F92">
        <v>9592.6299999999992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</v>
      </c>
      <c r="N92" t="s">
        <v>28</v>
      </c>
      <c r="O92" t="s">
        <v>54</v>
      </c>
      <c r="P92">
        <v>8</v>
      </c>
      <c r="Q92">
        <v>585</v>
      </c>
      <c r="R92">
        <v>8</v>
      </c>
      <c r="S92">
        <v>85.68</v>
      </c>
      <c r="T92" t="s">
        <v>64</v>
      </c>
      <c r="U92">
        <v>1.22</v>
      </c>
      <c r="V92" t="s">
        <v>47</v>
      </c>
      <c r="W92" t="s">
        <v>32</v>
      </c>
      <c r="X92">
        <v>990.08</v>
      </c>
    </row>
    <row r="93" spans="1:24" x14ac:dyDescent="0.35">
      <c r="A93" t="s">
        <v>49</v>
      </c>
      <c r="B93" t="s">
        <v>145</v>
      </c>
      <c r="C93">
        <v>62.11</v>
      </c>
      <c r="D93">
        <v>90</v>
      </c>
      <c r="E93">
        <v>916</v>
      </c>
      <c r="F93">
        <v>1935.21</v>
      </c>
      <c r="G93" t="s">
        <v>56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</v>
      </c>
      <c r="N93" t="s">
        <v>53</v>
      </c>
      <c r="O93" t="s">
        <v>51</v>
      </c>
      <c r="P93">
        <v>5</v>
      </c>
      <c r="Q93">
        <v>207</v>
      </c>
      <c r="R93">
        <v>28</v>
      </c>
      <c r="S93">
        <v>39.770000000000003</v>
      </c>
      <c r="T93" t="s">
        <v>30</v>
      </c>
      <c r="U93">
        <v>0.63</v>
      </c>
      <c r="V93" t="s">
        <v>47</v>
      </c>
      <c r="W93" t="s">
        <v>32</v>
      </c>
      <c r="X93">
        <v>996.78</v>
      </c>
    </row>
    <row r="94" spans="1:24" x14ac:dyDescent="0.35">
      <c r="A94" t="s">
        <v>49</v>
      </c>
      <c r="B94" t="s">
        <v>146</v>
      </c>
      <c r="C94">
        <v>47.71</v>
      </c>
      <c r="D94">
        <v>44</v>
      </c>
      <c r="E94">
        <v>276</v>
      </c>
      <c r="F94">
        <v>2100.13</v>
      </c>
      <c r="G94" t="s">
        <v>56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4.47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</v>
      </c>
      <c r="T94" t="s">
        <v>64</v>
      </c>
      <c r="U94">
        <v>0.33</v>
      </c>
      <c r="V94" t="s">
        <v>47</v>
      </c>
      <c r="W94" t="s">
        <v>32</v>
      </c>
      <c r="X94">
        <v>230.09</v>
      </c>
    </row>
    <row r="95" spans="1:24" x14ac:dyDescent="0.35">
      <c r="A95" t="s">
        <v>24</v>
      </c>
      <c r="B95" t="s">
        <v>147</v>
      </c>
      <c r="C95">
        <v>69.290000000000006</v>
      </c>
      <c r="D95">
        <v>88</v>
      </c>
      <c r="E95">
        <v>114</v>
      </c>
      <c r="F95">
        <v>4531.3999999999996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7.01</v>
      </c>
      <c r="N95" t="s">
        <v>53</v>
      </c>
      <c r="O95" t="s">
        <v>62</v>
      </c>
      <c r="P95">
        <v>21</v>
      </c>
      <c r="Q95">
        <v>824</v>
      </c>
      <c r="R95">
        <v>20</v>
      </c>
      <c r="S95">
        <v>35.630000000000003</v>
      </c>
      <c r="T95" t="s">
        <v>46</v>
      </c>
      <c r="U95">
        <v>4.17</v>
      </c>
      <c r="V95" t="s">
        <v>40</v>
      </c>
      <c r="W95" t="s">
        <v>48</v>
      </c>
      <c r="X95">
        <v>823.52</v>
      </c>
    </row>
    <row r="96" spans="1:24" x14ac:dyDescent="0.35">
      <c r="A96" t="s">
        <v>49</v>
      </c>
      <c r="B96" t="s">
        <v>148</v>
      </c>
      <c r="C96">
        <v>3.04</v>
      </c>
      <c r="D96">
        <v>97</v>
      </c>
      <c r="E96">
        <v>987</v>
      </c>
      <c r="F96">
        <v>7888.36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</v>
      </c>
      <c r="N96" t="s">
        <v>61</v>
      </c>
      <c r="O96" t="s">
        <v>51</v>
      </c>
      <c r="P96">
        <v>12</v>
      </c>
      <c r="Q96">
        <v>908</v>
      </c>
      <c r="R96">
        <v>14</v>
      </c>
      <c r="S96">
        <v>60.39</v>
      </c>
      <c r="T96" t="s">
        <v>64</v>
      </c>
      <c r="U96">
        <v>1.46</v>
      </c>
      <c r="V96" t="s">
        <v>47</v>
      </c>
      <c r="W96" t="s">
        <v>32</v>
      </c>
      <c r="X96">
        <v>846.67</v>
      </c>
    </row>
    <row r="97" spans="1:24" x14ac:dyDescent="0.35">
      <c r="A97" t="s">
        <v>24</v>
      </c>
      <c r="B97" t="s">
        <v>149</v>
      </c>
      <c r="C97">
        <v>77.900000000000006</v>
      </c>
      <c r="D97">
        <v>65</v>
      </c>
      <c r="E97">
        <v>672</v>
      </c>
      <c r="F97">
        <v>7386.36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8.6300000000000008</v>
      </c>
      <c r="N97" t="s">
        <v>53</v>
      </c>
      <c r="O97" t="s">
        <v>29</v>
      </c>
      <c r="P97">
        <v>18</v>
      </c>
      <c r="Q97">
        <v>450</v>
      </c>
      <c r="R97">
        <v>26</v>
      </c>
      <c r="S97">
        <v>58.89</v>
      </c>
      <c r="T97" t="s">
        <v>30</v>
      </c>
      <c r="U97">
        <v>1.21</v>
      </c>
      <c r="V97" t="s">
        <v>40</v>
      </c>
      <c r="W97" t="s">
        <v>48</v>
      </c>
      <c r="X97">
        <v>778.86</v>
      </c>
    </row>
    <row r="98" spans="1:24" x14ac:dyDescent="0.35">
      <c r="A98" t="s">
        <v>49</v>
      </c>
      <c r="B98" t="s">
        <v>150</v>
      </c>
      <c r="C98">
        <v>24.42</v>
      </c>
      <c r="D98">
        <v>29</v>
      </c>
      <c r="E98">
        <v>324</v>
      </c>
      <c r="F98">
        <v>7698.42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</v>
      </c>
      <c r="T98" t="s">
        <v>30</v>
      </c>
      <c r="U98">
        <v>3.87</v>
      </c>
      <c r="V98" t="s">
        <v>31</v>
      </c>
      <c r="W98" t="s">
        <v>48</v>
      </c>
      <c r="X98">
        <v>188.74</v>
      </c>
    </row>
    <row r="99" spans="1:24" x14ac:dyDescent="0.35">
      <c r="A99" t="s">
        <v>24</v>
      </c>
      <c r="B99" t="s">
        <v>151</v>
      </c>
      <c r="C99">
        <v>3.53</v>
      </c>
      <c r="D99">
        <v>56</v>
      </c>
      <c r="E99">
        <v>62</v>
      </c>
      <c r="F99">
        <v>4370.92</v>
      </c>
      <c r="G99" t="s">
        <v>56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</v>
      </c>
      <c r="N99" t="s">
        <v>53</v>
      </c>
      <c r="O99" t="s">
        <v>29</v>
      </c>
      <c r="P99">
        <v>10</v>
      </c>
      <c r="Q99">
        <v>535</v>
      </c>
      <c r="R99">
        <v>13</v>
      </c>
      <c r="S99">
        <v>65.77</v>
      </c>
      <c r="T99" t="s">
        <v>46</v>
      </c>
      <c r="U99">
        <v>3.38</v>
      </c>
      <c r="V99" t="s">
        <v>31</v>
      </c>
      <c r="W99" t="s">
        <v>48</v>
      </c>
      <c r="X99">
        <v>540.13</v>
      </c>
    </row>
    <row r="100" spans="1:24" x14ac:dyDescent="0.35">
      <c r="A100" t="s">
        <v>33</v>
      </c>
      <c r="B100" t="s">
        <v>152</v>
      </c>
      <c r="C100">
        <v>19.75</v>
      </c>
      <c r="D100">
        <v>43</v>
      </c>
      <c r="E100">
        <v>913</v>
      </c>
      <c r="F100">
        <v>8525.9500000000007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1.41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</v>
      </c>
      <c r="T100" t="s">
        <v>30</v>
      </c>
      <c r="U100">
        <v>2.91</v>
      </c>
      <c r="V100" t="s">
        <v>47</v>
      </c>
      <c r="W100" t="s">
        <v>48</v>
      </c>
      <c r="X100">
        <v>882.2</v>
      </c>
    </row>
    <row r="101" spans="1:24" x14ac:dyDescent="0.35">
      <c r="A101" t="s">
        <v>24</v>
      </c>
      <c r="B101" t="s">
        <v>153</v>
      </c>
      <c r="C101">
        <v>68.52</v>
      </c>
      <c r="D101">
        <v>17</v>
      </c>
      <c r="E101">
        <v>627</v>
      </c>
      <c r="F101">
        <v>9185.19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</v>
      </c>
      <c r="T101" t="s">
        <v>46</v>
      </c>
      <c r="U101">
        <v>0.35</v>
      </c>
      <c r="V101" t="s">
        <v>47</v>
      </c>
      <c r="W101" t="s">
        <v>32</v>
      </c>
      <c r="X101">
        <v>210.74</v>
      </c>
    </row>
    <row r="102" spans="1:24" x14ac:dyDescent="0.35">
      <c r="C102">
        <f>AVERAGE(Table1[Price])</f>
        <v>49.46250000000002</v>
      </c>
      <c r="E102">
        <f>SUM(Table1[Number of products sold])</f>
        <v>46099</v>
      </c>
      <c r="F102">
        <f>SUM(Table1[Revenue generated])</f>
        <v>577604.85999999987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B6"/>
  <sheetViews>
    <sheetView showGridLines="0" zoomScale="94" zoomScaleNormal="70" workbookViewId="0">
      <selection activeCell="G20" sqref="G20"/>
    </sheetView>
  </sheetViews>
  <sheetFormatPr defaultRowHeight="14.5" x14ac:dyDescent="0.35"/>
  <cols>
    <col min="1" max="1" width="13.1796875" bestFit="1" customWidth="1"/>
    <col min="2" max="2" width="24.1796875" bestFit="1" customWidth="1"/>
  </cols>
  <sheetData>
    <row r="3" spans="1:2" x14ac:dyDescent="0.35">
      <c r="A3" s="1" t="s">
        <v>154</v>
      </c>
      <c r="B3" s="2" t="s">
        <v>160</v>
      </c>
    </row>
    <row r="4" spans="1:2" x14ac:dyDescent="0.35">
      <c r="A4" s="3" t="s">
        <v>49</v>
      </c>
      <c r="B4" s="4">
        <v>0.27963973502577516</v>
      </c>
    </row>
    <row r="5" spans="1:2" x14ac:dyDescent="0.35">
      <c r="A5" s="3" t="s">
        <v>24</v>
      </c>
      <c r="B5" s="4">
        <v>0.30203246558555619</v>
      </c>
    </row>
    <row r="6" spans="1:2" x14ac:dyDescent="0.35">
      <c r="A6" s="3" t="s">
        <v>33</v>
      </c>
      <c r="B6" s="4">
        <v>0.4183277993886686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E8"/>
  <sheetViews>
    <sheetView showGridLines="0" workbookViewId="0">
      <selection activeCell="M20" sqref="M20"/>
    </sheetView>
  </sheetViews>
  <sheetFormatPr defaultRowHeight="14.5" x14ac:dyDescent="0.35"/>
  <cols>
    <col min="1" max="1" width="12.36328125" bestFit="1" customWidth="1"/>
    <col min="2" max="2" width="32.54296875" customWidth="1"/>
    <col min="3" max="4" width="20.54296875" bestFit="1" customWidth="1"/>
  </cols>
  <sheetData>
    <row r="3" spans="1:5" x14ac:dyDescent="0.35">
      <c r="A3" s="7" t="s">
        <v>154</v>
      </c>
      <c r="B3" s="8" t="s">
        <v>161</v>
      </c>
      <c r="E3" s="6"/>
    </row>
    <row r="4" spans="1:5" x14ac:dyDescent="0.35">
      <c r="A4" s="9" t="s">
        <v>39</v>
      </c>
      <c r="B4" s="10">
        <v>12.592592592592593</v>
      </c>
    </row>
    <row r="5" spans="1:5" x14ac:dyDescent="0.35">
      <c r="A5" s="9" t="s">
        <v>61</v>
      </c>
      <c r="B5" s="10">
        <v>15.590909090909092</v>
      </c>
    </row>
    <row r="6" spans="1:5" x14ac:dyDescent="0.35">
      <c r="A6" s="9" t="s">
        <v>28</v>
      </c>
      <c r="B6" s="10">
        <v>14.933333333333334</v>
      </c>
    </row>
    <row r="7" spans="1:5" x14ac:dyDescent="0.35">
      <c r="A7" s="9" t="s">
        <v>53</v>
      </c>
      <c r="B7" s="10">
        <v>15.333333333333334</v>
      </c>
    </row>
    <row r="8" spans="1:5" x14ac:dyDescent="0.35">
      <c r="A8" s="9" t="s">
        <v>44</v>
      </c>
      <c r="B8" s="10">
        <v>16.333333333333332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3:C8"/>
  <sheetViews>
    <sheetView showGridLines="0" tabSelected="1" workbookViewId="0">
      <selection activeCell="C29" sqref="C29"/>
    </sheetView>
  </sheetViews>
  <sheetFormatPr defaultRowHeight="14.5" x14ac:dyDescent="0.35"/>
  <cols>
    <col min="1" max="1" width="12.36328125" bestFit="1" customWidth="1"/>
    <col min="2" max="2" width="19.36328125" bestFit="1" customWidth="1"/>
    <col min="3" max="3" width="20.54296875" bestFit="1" customWidth="1"/>
  </cols>
  <sheetData>
    <row r="3" spans="1:3" x14ac:dyDescent="0.35">
      <c r="A3" s="1" t="s">
        <v>154</v>
      </c>
      <c r="B3" s="2" t="s">
        <v>163</v>
      </c>
      <c r="C3" s="2" t="s">
        <v>162</v>
      </c>
    </row>
    <row r="4" spans="1:3" x14ac:dyDescent="0.35">
      <c r="A4" s="3" t="s">
        <v>39</v>
      </c>
      <c r="B4" s="5">
        <v>16.777777777777779</v>
      </c>
      <c r="C4" s="5">
        <v>1.8033333333333332</v>
      </c>
    </row>
    <row r="5" spans="1:3" x14ac:dyDescent="0.35">
      <c r="A5" s="3" t="s">
        <v>61</v>
      </c>
      <c r="B5" s="5">
        <v>16.227272727272727</v>
      </c>
      <c r="C5" s="5">
        <v>2.3618181818181814</v>
      </c>
    </row>
    <row r="6" spans="1:3" x14ac:dyDescent="0.35">
      <c r="A6" s="3" t="s">
        <v>28</v>
      </c>
      <c r="B6" s="5">
        <v>14.333333333333334</v>
      </c>
      <c r="C6" s="5">
        <v>2.4660000000000002</v>
      </c>
    </row>
    <row r="7" spans="1:3" x14ac:dyDescent="0.35">
      <c r="A7" s="3" t="s">
        <v>53</v>
      </c>
      <c r="B7" s="5">
        <v>17</v>
      </c>
      <c r="C7" s="5">
        <v>2.3388888888888895</v>
      </c>
    </row>
    <row r="8" spans="1:3" x14ac:dyDescent="0.35">
      <c r="A8" s="3" t="s">
        <v>44</v>
      </c>
      <c r="B8" s="5">
        <v>14.722222222222221</v>
      </c>
      <c r="C8" s="5">
        <v>2.665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supply_chain_data</vt:lpstr>
      <vt:lpstr>sum of Revenue generated</vt:lpstr>
      <vt:lpstr>avg of manufacturing</vt:lpstr>
      <vt:lpstr>Avg lead time &amp; Defect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2026-09-04T07:06:44Z</dcterms:created>
  <dcterms:modified xsi:type="dcterms:W3CDTF">2026-09-22T10:24:55Z</dcterms:modified>
</cp:coreProperties>
</file>